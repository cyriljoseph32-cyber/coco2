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yril\Claude\Projects\Coco Samui\"/>
    </mc:Choice>
  </mc:AlternateContent>
  <xr:revisionPtr revIDLastSave="0" documentId="13_ncr:1_{258E3F7C-94C0-4B70-B73F-E7663E6E530E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Guide" sheetId="1" r:id="rId1"/>
    <sheet name="Master List" sheetId="2" r:id="rId2"/>
    <sheet name="Tracker" sheetId="3" r:id="rId3"/>
  </sheets>
  <definedNames>
    <definedName name="_xlnm._FilterDatabase" localSheetId="1" hidden="1">'Master List'!$A$2:$K$78</definedName>
    <definedName name="_xlnm._FilterDatabase" localSheetId="2" hidden="1">Tracker!$A$2:$L$78</definedName>
  </definedNames>
  <calcPr calcId="191029" iterateDelta="1E-4"/>
</workbook>
</file>

<file path=xl/calcChain.xml><?xml version="1.0" encoding="utf-8"?>
<calcChain xmlns="http://schemas.openxmlformats.org/spreadsheetml/2006/main">
  <c r="I80" i="3" l="1"/>
  <c r="G80" i="3"/>
  <c r="D80" i="3"/>
  <c r="J80" i="2"/>
  <c r="F80" i="2"/>
  <c r="C80" i="2"/>
</calcChain>
</file>

<file path=xl/sharedStrings.xml><?xml version="1.0" encoding="utf-8"?>
<sst xmlns="http://schemas.openxmlformats.org/spreadsheetml/2006/main" count="1387" uniqueCount="462">
  <si>
    <t>COCO · Samui Concierge AI</t>
  </si>
  <si>
    <t>Listing de prospection — Hôtels &amp; acteurs du tourisme · Koh Samui</t>
  </si>
  <si>
    <t>Mise à jour : Juin 2026</t>
  </si>
  <si>
    <t>Comment utiliser ce fichier</t>
  </si>
  <si>
    <t>Onglet « Master List »</t>
  </si>
  <si>
    <t>Liste complète, filtrable (filtre automatique activé). Filtre par Segment, Zone ou Priorité.</t>
  </si>
  <si>
    <t>Colonne « Status »</t>
  </si>
  <si>
    <t>Verified = email/tél déjà vérifié.  To confirm = à valider via le site officiel avant envoi.</t>
  </si>
  <si>
    <t>Colonne « Priority »</t>
  </si>
  <si>
    <t>High = cibler en premier (gros volume + budget).  Medium = 2e vague.  Test = pilote / rapport prix.</t>
  </si>
  <si>
    <t>Colonne « Contact »</t>
  </si>
  <si>
    <t>Rôle à demander. Astuce : viser Guest Relations Manager ou Digital Marketing Manager, pas la réservation.</t>
  </si>
  <si>
    <t>Légende des couleurs (colonne Priority)</t>
  </si>
  <si>
    <t>High</t>
  </si>
  <si>
    <t>Priorité haute</t>
  </si>
  <si>
    <t>Medium</t>
  </si>
  <si>
    <t>Priorité moyenne</t>
  </si>
  <si>
    <t>Test</t>
  </si>
  <si>
    <t>Cible test / pilote</t>
  </si>
  <si>
    <t>Partner</t>
  </si>
  <si>
    <t>Partenaire potentiel (peut vous référencer)</t>
  </si>
  <si>
    <t>Plan de prospection conseillé</t>
  </si>
  <si>
    <t>Semaine 1 — High (hôtels phares)</t>
  </si>
  <si>
    <t>Anantara Bophut · Hansar · Centara Reserve · Amari · Santiburi · W Koh Samui · Ritz-Carlton</t>
  </si>
  <si>
    <t>Semaine 2 — High restants + Luxe</t>
  </si>
  <si>
    <t>Banyan Tree · SALA Chaweng · Renaissance · InterContinental · Conrad · Four Seasons · Garrya</t>
  </si>
  <si>
    <t>Semaine 3 — Villas &amp; Wellness</t>
  </si>
  <si>
    <t>LUXE Samui · Samui &amp; Koh · Samui Villa Finder · Kamalaya · Tamarind Springs</t>
  </si>
  <si>
    <t>Semaine 4 — Concierges &amp; Tours</t>
  </si>
  <si>
    <t>Private Concierge Samui · MrSamui · Concierge Samui · 100 Degrees East · Discovery Divers</t>
  </si>
  <si>
    <t>Note honnêteté données</t>
  </si>
  <si>
    <t>Les contacts « To confirm » n'ont pas d'email nominatif public : utiliser le formulaire / email du site officiel indiqué. Ne pas deviner d'adresse.</t>
  </si>
  <si>
    <t>COCO · Samui Concierge AI — Master prospecting list (Koh Samui)</t>
  </si>
  <si>
    <t>Segment</t>
  </si>
  <si>
    <t>Zone / Area</t>
  </si>
  <si>
    <t>Name</t>
  </si>
  <si>
    <t>Tier / Type</t>
  </si>
  <si>
    <t>Contact (role)</t>
  </si>
  <si>
    <t>Email</t>
  </si>
  <si>
    <t>Phone</t>
  </si>
  <si>
    <t>Website</t>
  </si>
  <si>
    <t>Priority</t>
  </si>
  <si>
    <t>Status</t>
  </si>
  <si>
    <t>Notes</t>
  </si>
  <si>
    <t>Hotel &amp; Resort</t>
  </si>
  <si>
    <t>Bophut</t>
  </si>
  <si>
    <t>Anantara Bophut Koh Samui Resort</t>
  </si>
  <si>
    <t>5★</t>
  </si>
  <si>
    <t>Guest Relations / Mktg Mgr</t>
  </si>
  <si>
    <t>bophutsamui@anantara.com</t>
  </si>
  <si>
    <t>+66 77 428 300</t>
  </si>
  <si>
    <t>anantara.com/bophut-koh-samui</t>
  </si>
  <si>
    <t>Verified</t>
  </si>
  <si>
    <t>Luxe — fort potentiel concierge in-room</t>
  </si>
  <si>
    <t>Anantara Lawana Koh Samui Resort</t>
  </si>
  <si>
    <t>Guest Relations Mgr</t>
  </si>
  <si>
    <t>via anantara.com</t>
  </si>
  <si>
    <t>+66 77 960 333</t>
  </si>
  <si>
    <t>anantara.com/lawana-koh-samui</t>
  </si>
  <si>
    <t>To confirm</t>
  </si>
  <si>
    <t>Nord Chaweng / Bophut</t>
  </si>
  <si>
    <t>Hansar Samui Resort &amp; Spa</t>
  </si>
  <si>
    <t>Reservations / GM</t>
  </si>
  <si>
    <t>reservation@hansarsamui.com</t>
  </si>
  <si>
    <t>+66 77 245 511</t>
  </si>
  <si>
    <t>hansarsamui.com</t>
  </si>
  <si>
    <t>Bandara Resort &amp; Spa</t>
  </si>
  <si>
    <t>4★</t>
  </si>
  <si>
    <t>Sales</t>
  </si>
  <si>
    <t>stay@bandarasamui.com</t>
  </si>
  <si>
    <t>+66 77 245 795</t>
  </si>
  <si>
    <t>bandarasamui.com</t>
  </si>
  <si>
    <t>Bandara Group (Sales HQ)</t>
  </si>
  <si>
    <t>Group</t>
  </si>
  <si>
    <t>Sales Admin</t>
  </si>
  <si>
    <t>salesadmin@bandaragroup.com</t>
  </si>
  <si>
    <t>bandaragroup.com</t>
  </si>
  <si>
    <t>Décideur multi-sites</t>
  </si>
  <si>
    <t>The Stay Chaweng Beach Resort</t>
  </si>
  <si>
    <t>Reservations</t>
  </si>
  <si>
    <t>rsvn@thestaysamui.com</t>
  </si>
  <si>
    <t>+66 77 415 200</t>
  </si>
  <si>
    <t>thestaysamui.com</t>
  </si>
  <si>
    <t>162/5 Moo 2 Bophut</t>
  </si>
  <si>
    <t>Holiday Inn Resort Samui Bophut Beach</t>
  </si>
  <si>
    <t>Digital Mktg Mgr</t>
  </si>
  <si>
    <t>via ihg.com</t>
  </si>
  <si>
    <t>+66 77 960 777</t>
  </si>
  <si>
    <t>ihg.com</t>
  </si>
  <si>
    <t>Chaîne IHG</t>
  </si>
  <si>
    <t>Cielo Boutique Hotel &amp; Spa</t>
  </si>
  <si>
    <t>Front Office Mgr</t>
  </si>
  <si>
    <t>info@cielosamui.com</t>
  </si>
  <si>
    <t>+66 77 245 000</t>
  </si>
  <si>
    <t>cielosamui.com</t>
  </si>
  <si>
    <t>Garrya Tongsai Bay Samui</t>
  </si>
  <si>
    <t>Guest Experience Mgr</t>
  </si>
  <si>
    <t>via garrya.com</t>
  </si>
  <si>
    <t>+66 77 245 480</t>
  </si>
  <si>
    <t>garrya.com/tongsai-bay</t>
  </si>
  <si>
    <t>Banyan Tree group</t>
  </si>
  <si>
    <t>Peace Resort Samui</t>
  </si>
  <si>
    <t>via peaceresort.com</t>
  </si>
  <si>
    <t>+66 77 425 357</t>
  </si>
  <si>
    <t>peaceresort.com</t>
  </si>
  <si>
    <t>Chaweng</t>
  </si>
  <si>
    <t>Centara Reserve Samui</t>
  </si>
  <si>
    <t>Digital / Guest Rel Mgr</t>
  </si>
  <si>
    <t>crs@chr.co.th</t>
  </si>
  <si>
    <t>+66 77 230 500</t>
  </si>
  <si>
    <t>centarahotelsresorts.com</t>
  </si>
  <si>
    <t>SALA Samui Chaweng Beach Resort</t>
  </si>
  <si>
    <t>Reservations Mgr</t>
  </si>
  <si>
    <t>reservations@salachaweng.com</t>
  </si>
  <si>
    <t>+66 77 905 888</t>
  </si>
  <si>
    <t>salahospitality.com/samui-chaweng</t>
  </si>
  <si>
    <t>Amari Koh Samui</t>
  </si>
  <si>
    <t>reservations.kohsamui@amari.com</t>
  </si>
  <si>
    <t>+66 77 300 306</t>
  </si>
  <si>
    <t>amari.com/koh-samui</t>
  </si>
  <si>
    <t>The Library</t>
  </si>
  <si>
    <t>GM / Mktg</t>
  </si>
  <si>
    <t>info@thelibrary.co.th</t>
  </si>
  <si>
    <t>+66 77 422 767</t>
  </si>
  <si>
    <t>thelibrary.co.th</t>
  </si>
  <si>
    <t>Boutique design iconique</t>
  </si>
  <si>
    <t>Avani+ Samui (Avani Chaweng)</t>
  </si>
  <si>
    <t>avani.samui@avanihotels.com</t>
  </si>
  <si>
    <t>+66 77 915 000</t>
  </si>
  <si>
    <t>avanihotels.com</t>
  </si>
  <si>
    <t>NH Collection Samui Peace Resort</t>
  </si>
  <si>
    <t>nhcollectionsamuipeaceresort@nh-hotels.com</t>
  </si>
  <si>
    <t>+66 77 914 888</t>
  </si>
  <si>
    <t>nh-hotels.com</t>
  </si>
  <si>
    <t>OZO Chaweng Samui</t>
  </si>
  <si>
    <t>3★</t>
  </si>
  <si>
    <t>Front Office</t>
  </si>
  <si>
    <t>reservations@ozochaweng.com</t>
  </si>
  <si>
    <t>+66 77 960 600</t>
  </si>
  <si>
    <t>ozohotels.com</t>
  </si>
  <si>
    <t>Cible test rapport prix</t>
  </si>
  <si>
    <t>Chaweng Regent Beach Resort</t>
  </si>
  <si>
    <t>info@chawengregent.com</t>
  </si>
  <si>
    <t>+66 77 422 008</t>
  </si>
  <si>
    <t>chawengregent.com</t>
  </si>
  <si>
    <t>Nora Beach Resort &amp; Spa</t>
  </si>
  <si>
    <t>reservation@norabeachresort.com</t>
  </si>
  <si>
    <t>+66 77 413 999</t>
  </si>
  <si>
    <t>norabeachresort.com</t>
  </si>
  <si>
    <t>Mercure Koh Samui Beach Resort</t>
  </si>
  <si>
    <t>via accor.com</t>
  </si>
  <si>
    <t>+66 77 422 222</t>
  </si>
  <si>
    <t>accor.com</t>
  </si>
  <si>
    <t>Chaîne Accor</t>
  </si>
  <si>
    <t>Best Western Chaweng Samui</t>
  </si>
  <si>
    <t>via bestwestern.com</t>
  </si>
  <si>
    <t>+66 77 414 480</t>
  </si>
  <si>
    <t>bestwestern.com</t>
  </si>
  <si>
    <t>Lamai</t>
  </si>
  <si>
    <t>Banyan Tree Samui</t>
  </si>
  <si>
    <t>samui@banyantree.com</t>
  </si>
  <si>
    <t>+66 77 915 333</t>
  </si>
  <si>
    <t>banyantree.com/samui</t>
  </si>
  <si>
    <t>Renaissance Koh Samui Resort &amp; Spa</t>
  </si>
  <si>
    <t>renaissance.kohsamui@marriott.com</t>
  </si>
  <si>
    <t>+66 77 429 300</t>
  </si>
  <si>
    <t>marriott.com</t>
  </si>
  <si>
    <t>Marriott</t>
  </si>
  <si>
    <t>Silavadee Pool Spa Resort</t>
  </si>
  <si>
    <t>Reservations / Mktg</t>
  </si>
  <si>
    <t>info@silavadee.com</t>
  </si>
  <si>
    <t>+66 77 960 555</t>
  </si>
  <si>
    <t>silavadee.com</t>
  </si>
  <si>
    <t>Beach Republic Samui</t>
  </si>
  <si>
    <t>F&amp;B / Events Mgr</t>
  </si>
  <si>
    <t>info@beachrepublic.com</t>
  </si>
  <si>
    <t>+66 77 458 100</t>
  </si>
  <si>
    <t>beachrepublic.com</t>
  </si>
  <si>
    <t>Beach club</t>
  </si>
  <si>
    <t>Rocky's Boutique Resort</t>
  </si>
  <si>
    <t>reservations@rockyresort.com</t>
  </si>
  <si>
    <t>+66 77 418 367</t>
  </si>
  <si>
    <t>rockyresort.com</t>
  </si>
  <si>
    <t>The Lamai Samui</t>
  </si>
  <si>
    <t>reservations@thelamai.com</t>
  </si>
  <si>
    <t>+66 77 233 500</t>
  </si>
  <si>
    <t>thelamai.com</t>
  </si>
  <si>
    <t>X2 Koh Samui Resort</t>
  </si>
  <si>
    <t>kohsamui@x2resorts.com</t>
  </si>
  <si>
    <t>+66 77 232 222</t>
  </si>
  <si>
    <t>x2resorts.com</t>
  </si>
  <si>
    <t>Pavilion Samui Villas &amp; Resort</t>
  </si>
  <si>
    <t>via pavilionsamui.com</t>
  </si>
  <si>
    <t>+66 77 424 030</t>
  </si>
  <si>
    <t>pavilionsamui.com</t>
  </si>
  <si>
    <t>Maenam</t>
  </si>
  <si>
    <t>Santiburi Koh Samui</t>
  </si>
  <si>
    <t>info@santiburisamui.com</t>
  </si>
  <si>
    <t>+66 77 425 031</t>
  </si>
  <si>
    <t>santiburisamui.com</t>
  </si>
  <si>
    <t>W Koh Samui</t>
  </si>
  <si>
    <t>Guest Experience / Insider</t>
  </si>
  <si>
    <t>wkohsamui@whotels.com</t>
  </si>
  <si>
    <t>+66 77 915 999</t>
  </si>
  <si>
    <t>marriott.com/wkohsamui</t>
  </si>
  <si>
    <t>Marriott — 'Whatever/Whenever'</t>
  </si>
  <si>
    <t>The COAST Adults Only Resort &amp; Spa</t>
  </si>
  <si>
    <t>info@thecoastsamui.com</t>
  </si>
  <si>
    <t>+66 77 960 900</t>
  </si>
  <si>
    <t>thecoastsamui.com</t>
  </si>
  <si>
    <t>Celes Beachfront Resort</t>
  </si>
  <si>
    <t>reservations@celesresort.com</t>
  </si>
  <si>
    <t>+66 77 233 188</t>
  </si>
  <si>
    <t>celesresort.com</t>
  </si>
  <si>
    <t>Khwan Beach Resort</t>
  </si>
  <si>
    <t>info@khwanbeachresort.com</t>
  </si>
  <si>
    <t>+66 77 960 450</t>
  </si>
  <si>
    <t>khwanbeachresort.com</t>
  </si>
  <si>
    <t>Bubble / luxury tents</t>
  </si>
  <si>
    <t>Fair House Villas &amp; Spa</t>
  </si>
  <si>
    <t>via fairhousevillas.com</t>
  </si>
  <si>
    <t>+66 77 425 360</t>
  </si>
  <si>
    <t>fairhousevillas.com</t>
  </si>
  <si>
    <t>Choeng Mon</t>
  </si>
  <si>
    <t>The Ritz-Carlton Koh Samui</t>
  </si>
  <si>
    <t>Guest Relations / Concierge</t>
  </si>
  <si>
    <t>reservations@ritzcarlton-kohsamui.com</t>
  </si>
  <si>
    <t>+66 77 915 777</t>
  </si>
  <si>
    <t>ritzcarlton.com</t>
  </si>
  <si>
    <t>Plai Laem — proche projet famille</t>
  </si>
  <si>
    <t>SALA Samui Choeng Mon Beach Resort</t>
  </si>
  <si>
    <t>reservations@salachoengmon.com</t>
  </si>
  <si>
    <t>+66 77 245 888</t>
  </si>
  <si>
    <t>salahospitality.com</t>
  </si>
  <si>
    <t>Tongsai Bay (Garrya)</t>
  </si>
  <si>
    <t>Guest Experience</t>
  </si>
  <si>
    <t>+66 77 913 750</t>
  </si>
  <si>
    <t>garrya.com</t>
  </si>
  <si>
    <t>Samujana Villas</t>
  </si>
  <si>
    <t>Villa Reservations</t>
  </si>
  <si>
    <t>reservations@samujana.com</t>
  </si>
  <si>
    <t>+66 77 423 465</t>
  </si>
  <si>
    <t>samujana.com</t>
  </si>
  <si>
    <t>Villas de prestige</t>
  </si>
  <si>
    <t>Taling Ngam</t>
  </si>
  <si>
    <t>InterContinental Koh Samui Resort</t>
  </si>
  <si>
    <t>icasamui.rsvn@ihg.com</t>
  </si>
  <si>
    <t>+66 2 656 0440</t>
  </si>
  <si>
    <t>IHG luxe</t>
  </si>
  <si>
    <t>Conrad Koh Samui</t>
  </si>
  <si>
    <t>via hilton.com</t>
  </si>
  <si>
    <t>+66 77 915 888</t>
  </si>
  <si>
    <t>conradkohsamui.com</t>
  </si>
  <si>
    <t>Hilton luxe — vues couchers de soleil</t>
  </si>
  <si>
    <t>Na Muang/South</t>
  </si>
  <si>
    <t>Four Seasons Resort Koh Samui</t>
  </si>
  <si>
    <t>Concierge / Guest Exp</t>
  </si>
  <si>
    <t>reservations.thailand@fourseasons.com</t>
  </si>
  <si>
    <t>+66 77 243 000</t>
  </si>
  <si>
    <t>fourseasons.com/kohsamui</t>
  </si>
  <si>
    <t>Melati Beach Resort &amp; Spa</t>
  </si>
  <si>
    <t>via melatiresort.com</t>
  </si>
  <si>
    <t>+66 77 913 400</t>
  </si>
  <si>
    <t>melatiresort.com</t>
  </si>
  <si>
    <t>Samui Paradise Chaweng</t>
  </si>
  <si>
    <t>guests@samuiparadise.com</t>
  </si>
  <si>
    <t>+66 77 795 084</t>
  </si>
  <si>
    <t>Boutique &amp; Villas</t>
  </si>
  <si>
    <t>Island-wide</t>
  </si>
  <si>
    <t>LUXE Samui</t>
  </si>
  <si>
    <t>Villa rental + concierge</t>
  </si>
  <si>
    <t>Villa specialists team</t>
  </si>
  <si>
    <t>via luxesamui.com</t>
  </si>
  <si>
    <t>luxesamui.com</t>
  </si>
  <si>
    <t>Personnel villa, chef, concierge — clientèle premium</t>
  </si>
  <si>
    <t>Samui Villa Finder (samui-villa.com)</t>
  </si>
  <si>
    <t>Rentals + concierge</t>
  </si>
  <si>
    <t>Concierge team (WhatsApp/email)</t>
  </si>
  <si>
    <t>via samui-villa.com</t>
  </si>
  <si>
    <t>samui-villa.com</t>
  </si>
  <si>
    <t>Forte audience web — concierge gratuit / booking</t>
  </si>
  <si>
    <t>Samui &amp; Koh</t>
  </si>
  <si>
    <t>Villa mgmt + concierge</t>
  </si>
  <si>
    <t>Philippine (founder)</t>
  </si>
  <si>
    <t>via samui-and-koh.com</t>
  </si>
  <si>
    <t>samui-and-koh.com/villa-management-concierge-koh-samui</t>
  </si>
  <si>
    <t>Résidents long terme</t>
  </si>
  <si>
    <t>Samui Villas (samuivillas.co)</t>
  </si>
  <si>
    <t>Property mgmt + concierge</t>
  </si>
  <si>
    <t>Erenus &amp; Busem (owners)</t>
  </si>
  <si>
    <t>via samuivillas.co</t>
  </si>
  <si>
    <t>samuivillas.co</t>
  </si>
  <si>
    <t>15+ ans hôtellerie luxe</t>
  </si>
  <si>
    <t>Sublime Samui Villas</t>
  </si>
  <si>
    <t>Villa rental + management</t>
  </si>
  <si>
    <t>Concierge team</t>
  </si>
  <si>
    <t>via sublimesamuivillas.com</t>
  </si>
  <si>
    <t>sublimesamuivillas.com</t>
  </si>
  <si>
    <t>Siam Luxury Villas</t>
  </si>
  <si>
    <t>Concierge (Thailand-based)</t>
  </si>
  <si>
    <t>via siamluxuryvillas.com</t>
  </si>
  <si>
    <t>siamluxuryvillas.com</t>
  </si>
  <si>
    <t>Lime Samui Villas</t>
  </si>
  <si>
    <t>Villa concierge</t>
  </si>
  <si>
    <t>Concierge service</t>
  </si>
  <si>
    <t>via limesamui.com</t>
  </si>
  <si>
    <t>limesamui.com/concierge-service</t>
  </si>
  <si>
    <t>Clientèle villa premium</t>
  </si>
  <si>
    <t>Forbes &amp; Partners</t>
  </si>
  <si>
    <t>Luxury villa rental</t>
  </si>
  <si>
    <t>Sales / lettings</t>
  </si>
  <si>
    <t>via forbesandpartners.com</t>
  </si>
  <si>
    <t>forbesandpartners.com</t>
  </si>
  <si>
    <t>Chateau de Lamai</t>
  </si>
  <si>
    <t>Boutique resort</t>
  </si>
  <si>
    <t>via chateaudelamai.com</t>
  </si>
  <si>
    <t>chateaudelamai.com</t>
  </si>
  <si>
    <t>Spa &amp; Wellness</t>
  </si>
  <si>
    <t>Laem Set (South)</t>
  </si>
  <si>
    <t>Kamalaya Koh Samui</t>
  </si>
  <si>
    <t>Wellness sanctuary 5★</t>
  </si>
  <si>
    <t>Front Office / Wellness</t>
  </si>
  <si>
    <t>fo@kamalaya.com</t>
  </si>
  <si>
    <t>+66 77 429 800</t>
  </si>
  <si>
    <t>kamalaya.com</t>
  </si>
  <si>
    <t>Référence wellness mondiale</t>
  </si>
  <si>
    <t>Tamarind Springs Forest Spa</t>
  </si>
  <si>
    <t>Destination spa</t>
  </si>
  <si>
    <t>Reservations / Owner</t>
  </si>
  <si>
    <t>via tamarindsprings.com</t>
  </si>
  <si>
    <t>+66 77 424 436</t>
  </si>
  <si>
    <t>tamarindsprings.com</t>
  </si>
  <si>
    <t>1er spa de Samui (1998)</t>
  </si>
  <si>
    <t>Anantara Spa (Bophut / Lawana)</t>
  </si>
  <si>
    <t>Resort spa</t>
  </si>
  <si>
    <t>Spa Manager</t>
  </si>
  <si>
    <t>anantara.com</t>
  </si>
  <si>
    <t>Na Muang</t>
  </si>
  <si>
    <t>Four Seasons Spa Koh Samui</t>
  </si>
  <si>
    <t>Spa Director</t>
  </si>
  <si>
    <t>via fourseasons.com</t>
  </si>
  <si>
    <t>Eranda Herbal Spa</t>
  </si>
  <si>
    <t>Day spa</t>
  </si>
  <si>
    <t>Manager</t>
  </si>
  <si>
    <t>via erandaspa.com</t>
  </si>
  <si>
    <t>+66 77 300 333</t>
  </si>
  <si>
    <t>erandaspa.com</t>
  </si>
  <si>
    <t>The Spa Samui (Health &amp; detox)</t>
  </si>
  <si>
    <t>Detox retreat</t>
  </si>
  <si>
    <t>via thesparesorts.com</t>
  </si>
  <si>
    <t>+66 77 230 855</t>
  </si>
  <si>
    <t>thesparesorts.com</t>
  </si>
  <si>
    <t>Detox / fasting renommé</t>
  </si>
  <si>
    <t>The Source Herbal Detox Retreat</t>
  </si>
  <si>
    <t>via thesource.co.th</t>
  </si>
  <si>
    <t>thesource.co.th</t>
  </si>
  <si>
    <t>Kimpton Kitalay Spa</t>
  </si>
  <si>
    <t>via kimptonkitalaysamui.com</t>
  </si>
  <si>
    <t>+66 77 915 222</t>
  </si>
  <si>
    <t>kimptonkitalaysamui.com</t>
  </si>
  <si>
    <t>IHG Kimpton</t>
  </si>
  <si>
    <t>Zazen Boutique Resort &amp; Spa</t>
  </si>
  <si>
    <t>Boutique + spa</t>
  </si>
  <si>
    <t>via samuizazen.com</t>
  </si>
  <si>
    <t>+66 77 425 085</t>
  </si>
  <si>
    <t>samuizazen.com</t>
  </si>
  <si>
    <t>Absolute Sanctuary (nearby ref)</t>
  </si>
  <si>
    <t>Wellness resort</t>
  </si>
  <si>
    <t>via absolutesanctuary.com</t>
  </si>
  <si>
    <t>absolutesanctuary.com</t>
  </si>
  <si>
    <t>Réf. wellness (Chaweng N.)</t>
  </si>
  <si>
    <t>Tours &amp; Activities</t>
  </si>
  <si>
    <t>100 Degrees East</t>
  </si>
  <si>
    <t>Snorkel / boat tours</t>
  </si>
  <si>
    <t>Bookings / Owner</t>
  </si>
  <si>
    <t>via 100degreeseast.com</t>
  </si>
  <si>
    <t>100degreeseast.com</t>
  </si>
  <si>
    <t>TripAdvisor Best of Best — Ang Thong/Koh Tao</t>
  </si>
  <si>
    <t>Ang Thong Marine Park Tours</t>
  </si>
  <si>
    <t>Day tours speedboat</t>
  </si>
  <si>
    <t>Bookings</t>
  </si>
  <si>
    <t>via angthongmarinepark.com</t>
  </si>
  <si>
    <t>angthongmarinepark.com</t>
  </si>
  <si>
    <t>Pickup hôtels Samui/Phangan</t>
  </si>
  <si>
    <t>Koh Samui Tours (kohtour.com)</t>
  </si>
  <si>
    <t>Excursions</t>
  </si>
  <si>
    <t>via kohtour.com</t>
  </si>
  <si>
    <t>kohtour.com</t>
  </si>
  <si>
    <t>Oceana Samui</t>
  </si>
  <si>
    <t>Private speedboat charter</t>
  </si>
  <si>
    <t>Charter desk</t>
  </si>
  <si>
    <t>via oceanasamui.com</t>
  </si>
  <si>
    <t>oceanasamui.com</t>
  </si>
  <si>
    <t>Charters privés premium</t>
  </si>
  <si>
    <t>Silent Divers Thailand</t>
  </si>
  <si>
    <t>Dive shop</t>
  </si>
  <si>
    <t>Dive center</t>
  </si>
  <si>
    <t>via silentdivers.com</t>
  </si>
  <si>
    <t>silentdivers.com</t>
  </si>
  <si>
    <t>Plongée Ang Thong / Koh Tao</t>
  </si>
  <si>
    <t>Dive Point Samui</t>
  </si>
  <si>
    <t>via divepoint-samui.com</t>
  </si>
  <si>
    <t>divepoint-samui.com</t>
  </si>
  <si>
    <t>Sites Koh Wao / Koh Yippon</t>
  </si>
  <si>
    <t>Discovery Divers Samui</t>
  </si>
  <si>
    <t>Dive operator</t>
  </si>
  <si>
    <t>via discoverydiverssamui.com</t>
  </si>
  <si>
    <t>discoverydiverssamui.com</t>
  </si>
  <si>
    <t>Partenaire plongée Cyril (réf.)</t>
  </si>
  <si>
    <t>kohsamui.tours</t>
  </si>
  <si>
    <t>Big boat day tours</t>
  </si>
  <si>
    <t>via kohsamui.tours</t>
  </si>
  <si>
    <t>VIP Luxury Services Samui</t>
  </si>
  <si>
    <t>Lifestyle / transfers</t>
  </si>
  <si>
    <t>Concierge</t>
  </si>
  <si>
    <t>via vipluxuryservices.com</t>
  </si>
  <si>
    <t>vipluxuryservices.com</t>
  </si>
  <si>
    <t>Villas + transferts VIP</t>
  </si>
  <si>
    <t>Concierge / Partner</t>
  </si>
  <si>
    <t>Concierge Samui (Kim Dixon)</t>
  </si>
  <si>
    <t>Luxury lifestyle + RE</t>
  </si>
  <si>
    <t>Kim Dixon</t>
  </si>
  <si>
    <t>via concierge-samui.com</t>
  </si>
  <si>
    <t>concierge-samui.com</t>
  </si>
  <si>
    <t>Actif depuis 2002 — réseau solide</t>
  </si>
  <si>
    <t>Private Concierge Samui</t>
  </si>
  <si>
    <t>VIP lifestyle</t>
  </si>
  <si>
    <t>Concierge desk</t>
  </si>
  <si>
    <t>via private-concierge-samui.com</t>
  </si>
  <si>
    <t>private-concierge-samui.com</t>
  </si>
  <si>
    <t>Clientèle francophone haut de gamme</t>
  </si>
  <si>
    <t>MrSamui.com</t>
  </si>
  <si>
    <t>Digital island concierge</t>
  </si>
  <si>
    <t>Partnerships</t>
  </si>
  <si>
    <t>via mrsamui.com</t>
  </si>
  <si>
    <t>mrsamui.com/conciergeservices</t>
  </si>
  <si>
    <t>Déjà digital — partenariat white-label idéal</t>
  </si>
  <si>
    <t>Samui Villa Finder (concierge)</t>
  </si>
  <si>
    <t>TOTAL contacts:</t>
  </si>
  <si>
    <t>Verified:</t>
  </si>
  <si>
    <t>High:</t>
  </si>
  <si>
    <t>COCO · Outreach Tracker — log every send here</t>
  </si>
  <si>
    <t>Week</t>
  </si>
  <si>
    <t>Email / Contact</t>
  </si>
  <si>
    <t>Channel</t>
  </si>
  <si>
    <t>Date sent</t>
  </si>
  <si>
    <t>Follow-up date</t>
  </si>
  <si>
    <t>Replied?</t>
  </si>
  <si>
    <t>Next action</t>
  </si>
  <si>
    <t>W1-2</t>
  </si>
  <si>
    <t>2026-06-15</t>
  </si>
  <si>
    <t>Sent</t>
  </si>
  <si>
    <t>2026-06-22</t>
  </si>
  <si>
    <t>WhatsApp J+2 (17 Jun), email J+7 (22 Jun)</t>
  </si>
  <si>
    <t>Web form</t>
  </si>
  <si>
    <t>To send</t>
  </si>
  <si>
    <t>W2-3</t>
  </si>
  <si>
    <t>W3-4</t>
  </si>
  <si>
    <t>W3</t>
  </si>
  <si>
    <t>W4</t>
  </si>
  <si>
    <t>TOTAL</t>
  </si>
  <si>
    <t>Replied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</si>
</sst>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20"/>
      <color rgb="FF0E7C5A"/>
      <name val="Arial"/>
      <charset val="1"/>
    </font>
    <font>
      <sz val="12"/>
      <color rgb="FF0B3D2E"/>
      <name val="Arial"/>
      <charset val="1"/>
    </font>
    <font>
      <i/>
      <sz val="10"/>
      <color rgb="FF7A7A7A"/>
      <name val="Arial"/>
      <charset val="1"/>
    </font>
    <font>
      <b/>
      <sz val="10"/>
      <color rgb="FF0B3D2E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0"/>
      <color rgb="FF0E7C5A"/>
      <name val="Arial"/>
      <charset val="1"/>
    </font>
    <font>
      <sz val="10"/>
      <color rgb="FFB06A00"/>
      <name val="Arial"/>
      <charset val="1"/>
    </font>
    <font>
      <b/>
      <sz val="11"/>
      <name val="Arial"/>
      <charset val="1"/>
    </font>
    <font>
      <b/>
      <sz val="11"/>
      <color rgb="FF0E7C5A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0E7C5A"/>
        <bgColor rgb="FF008080"/>
      </patternFill>
    </fill>
    <fill>
      <patternFill patternType="solid">
        <fgColor rgb="FFF8C9C0"/>
        <bgColor rgb="FFD9D2C4"/>
      </patternFill>
    </fill>
    <fill>
      <patternFill patternType="solid">
        <fgColor rgb="FFFCE4B6"/>
        <bgColor rgb="FFF8C9C0"/>
      </patternFill>
    </fill>
    <fill>
      <patternFill patternType="solid">
        <fgColor rgb="FFCDE9CF"/>
        <bgColor rgb="FFCFE2F3"/>
      </patternFill>
    </fill>
    <fill>
      <patternFill patternType="solid">
        <fgColor rgb="FFCFE2F3"/>
        <bgColor rgb="FFCDE9CF"/>
      </patternFill>
    </fill>
    <fill>
      <patternFill patternType="solid">
        <fgColor rgb="FF0B3D2E"/>
        <bgColor rgb="FF003366"/>
      </patternFill>
    </fill>
    <fill>
      <patternFill patternType="solid">
        <fgColor rgb="FFFAF7F0"/>
        <bgColor rgb="FFFFFFFF"/>
      </patternFill>
    </fill>
  </fills>
  <borders count="2">
    <border>
      <left/>
      <right/>
      <top/>
      <bottom/>
      <diagonal/>
    </border>
    <border>
      <left style="thin">
        <color rgb="FFD9D2C4"/>
      </left>
      <right style="thin">
        <color rgb="FFD9D2C4"/>
      </right>
      <top style="thin">
        <color rgb="FFD9D2C4"/>
      </top>
      <bottom style="thin">
        <color rgb="FFD9D2C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2" borderId="0" xfId="0" applyFont="1" applyFill="1"/>
    <xf numFmtId="0" fontId="0" fillId="2" borderId="0" xfId="0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7" fillId="7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6A00"/>
      <rgbColor rgb="FF800080"/>
      <rgbColor rgb="FF0E7C5A"/>
      <rgbColor rgb="FFD9D2C4"/>
      <rgbColor rgb="FF7A7A7A"/>
      <rgbColor rgb="FF9999FF"/>
      <rgbColor rgb="FF993366"/>
      <rgbColor rgb="FFFAF7F0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9CF"/>
      <rgbColor rgb="FFFCE4B6"/>
      <rgbColor rgb="FF99CCFF"/>
      <rgbColor rgb="FFFF99CC"/>
      <rgbColor rgb="FFCC99FF"/>
      <rgbColor rgb="FFF8C9C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5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34" customWidth="1"/>
    <col min="3" max="3" width="96" customWidth="1"/>
  </cols>
  <sheetData>
    <row r="2" spans="2:3" ht="24" customHeight="1" x14ac:dyDescent="0.4">
      <c r="B2" s="1" t="s">
        <v>0</v>
      </c>
    </row>
    <row r="3" spans="2:3" ht="15" customHeight="1" x14ac:dyDescent="0.3">
      <c r="B3" s="2" t="s">
        <v>1</v>
      </c>
    </row>
    <row r="4" spans="2:3" ht="15" customHeight="1" x14ac:dyDescent="0.3">
      <c r="B4" s="3" t="s">
        <v>2</v>
      </c>
    </row>
    <row r="6" spans="2:3" ht="15" customHeight="1" x14ac:dyDescent="0.3">
      <c r="B6" s="4"/>
      <c r="C6" s="5"/>
    </row>
    <row r="7" spans="2:3" ht="15" customHeight="1" x14ac:dyDescent="0.3">
      <c r="B7" s="6" t="s">
        <v>3</v>
      </c>
      <c r="C7" s="7"/>
    </row>
    <row r="8" spans="2:3" ht="15" customHeight="1" x14ac:dyDescent="0.3">
      <c r="B8" s="4" t="s">
        <v>4</v>
      </c>
      <c r="C8" s="5" t="s">
        <v>5</v>
      </c>
    </row>
    <row r="9" spans="2:3" ht="15" customHeight="1" x14ac:dyDescent="0.3">
      <c r="B9" s="8" t="s">
        <v>6</v>
      </c>
      <c r="C9" s="5" t="s">
        <v>7</v>
      </c>
    </row>
    <row r="10" spans="2:3" ht="15" customHeight="1" x14ac:dyDescent="0.3">
      <c r="B10" s="9" t="s">
        <v>8</v>
      </c>
      <c r="C10" s="5" t="s">
        <v>9</v>
      </c>
    </row>
    <row r="11" spans="2:3" ht="15" customHeight="1" x14ac:dyDescent="0.3">
      <c r="B11" s="10" t="s">
        <v>10</v>
      </c>
      <c r="C11" s="5" t="s">
        <v>11</v>
      </c>
    </row>
    <row r="12" spans="2:3" ht="15" customHeight="1" x14ac:dyDescent="0.3">
      <c r="B12" s="11"/>
      <c r="C12" s="5"/>
    </row>
    <row r="13" spans="2:3" ht="15" customHeight="1" x14ac:dyDescent="0.3">
      <c r="B13" s="6" t="s">
        <v>12</v>
      </c>
      <c r="C13" s="7"/>
    </row>
    <row r="14" spans="2:3" ht="15" customHeight="1" x14ac:dyDescent="0.3">
      <c r="B14" s="4" t="s">
        <v>13</v>
      </c>
      <c r="C14" s="5" t="s">
        <v>14</v>
      </c>
    </row>
    <row r="15" spans="2:3" ht="15" customHeight="1" x14ac:dyDescent="0.3">
      <c r="B15" s="4" t="s">
        <v>15</v>
      </c>
      <c r="C15" s="5" t="s">
        <v>16</v>
      </c>
    </row>
    <row r="16" spans="2:3" ht="15" customHeight="1" x14ac:dyDescent="0.3">
      <c r="B16" s="4" t="s">
        <v>17</v>
      </c>
      <c r="C16" s="5" t="s">
        <v>18</v>
      </c>
    </row>
    <row r="17" spans="2:3" ht="15" customHeight="1" x14ac:dyDescent="0.3">
      <c r="B17" s="4" t="s">
        <v>19</v>
      </c>
      <c r="C17" s="5" t="s">
        <v>20</v>
      </c>
    </row>
    <row r="18" spans="2:3" ht="15" customHeight="1" x14ac:dyDescent="0.3">
      <c r="B18" s="4"/>
      <c r="C18" s="5"/>
    </row>
    <row r="19" spans="2:3" ht="15" customHeight="1" x14ac:dyDescent="0.3">
      <c r="B19" s="6" t="s">
        <v>21</v>
      </c>
      <c r="C19" s="7"/>
    </row>
    <row r="20" spans="2:3" ht="15" customHeight="1" x14ac:dyDescent="0.3">
      <c r="B20" s="4" t="s">
        <v>22</v>
      </c>
      <c r="C20" s="5" t="s">
        <v>23</v>
      </c>
    </row>
    <row r="21" spans="2:3" ht="15" customHeight="1" x14ac:dyDescent="0.3">
      <c r="B21" s="4" t="s">
        <v>24</v>
      </c>
      <c r="C21" s="5" t="s">
        <v>25</v>
      </c>
    </row>
    <row r="22" spans="2:3" ht="15" customHeight="1" x14ac:dyDescent="0.3">
      <c r="B22" s="4" t="s">
        <v>26</v>
      </c>
      <c r="C22" s="5" t="s">
        <v>27</v>
      </c>
    </row>
    <row r="23" spans="2:3" ht="15" customHeight="1" x14ac:dyDescent="0.3">
      <c r="B23" s="4" t="s">
        <v>28</v>
      </c>
      <c r="C23" s="5" t="s">
        <v>29</v>
      </c>
    </row>
    <row r="24" spans="2:3" ht="15" customHeight="1" x14ac:dyDescent="0.3">
      <c r="B24" s="4"/>
      <c r="C24" s="5"/>
    </row>
    <row r="25" spans="2:3" ht="23.25" customHeight="1" x14ac:dyDescent="0.3">
      <c r="B25" s="4" t="s">
        <v>30</v>
      </c>
      <c r="C25" s="5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"/>
  <sheetViews>
    <sheetView showGridLines="0" topLeftCell="D1" zoomScaleNormal="100" workbookViewId="0">
      <pane ySplit="2" topLeftCell="A12" activePane="bottomLeft" state="frozen"/>
      <selection pane="bottomLeft" sqref="A1:K1"/>
    </sheetView>
  </sheetViews>
  <sheetFormatPr baseColWidth="10" defaultColWidth="8.6640625" defaultRowHeight="14.4" x14ac:dyDescent="0.3"/>
  <cols>
    <col min="1" max="1" width="18" customWidth="1"/>
    <col min="2" max="2" width="16" customWidth="1"/>
    <col min="3" max="3" width="34" customWidth="1"/>
    <col min="4" max="4" width="18" customWidth="1"/>
    <col min="5" max="5" width="22" customWidth="1"/>
    <col min="6" max="6" width="34" customWidth="1"/>
    <col min="7" max="7" width="16" customWidth="1"/>
    <col min="8" max="8" width="30" customWidth="1"/>
    <col min="9" max="9" width="9" customWidth="1"/>
    <col min="10" max="10" width="12" customWidth="1"/>
    <col min="11" max="11" width="34" customWidth="1"/>
  </cols>
  <sheetData>
    <row r="1" spans="1:11" ht="25.5" customHeight="1" x14ac:dyDescent="0.3">
      <c r="A1" s="26" t="s">
        <v>32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30" customHeight="1" x14ac:dyDescent="0.3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2" t="s">
        <v>40</v>
      </c>
      <c r="I2" s="12" t="s">
        <v>41</v>
      </c>
      <c r="J2" s="12" t="s">
        <v>42</v>
      </c>
      <c r="K2" s="12" t="s">
        <v>43</v>
      </c>
    </row>
    <row r="3" spans="1:11" ht="15" customHeight="1" x14ac:dyDescent="0.3">
      <c r="A3" s="13" t="s">
        <v>44</v>
      </c>
      <c r="B3" s="13" t="s">
        <v>45</v>
      </c>
      <c r="C3" s="14" t="s">
        <v>46</v>
      </c>
      <c r="D3" s="13" t="s">
        <v>47</v>
      </c>
      <c r="E3" s="13" t="s">
        <v>48</v>
      </c>
      <c r="F3" s="13" t="s">
        <v>49</v>
      </c>
      <c r="G3" s="13" t="s">
        <v>50</v>
      </c>
      <c r="H3" s="13" t="s">
        <v>51</v>
      </c>
      <c r="I3" s="15" t="s">
        <v>13</v>
      </c>
      <c r="J3" s="16" t="s">
        <v>52</v>
      </c>
      <c r="K3" s="14" t="s">
        <v>53</v>
      </c>
    </row>
    <row r="4" spans="1:11" ht="15" customHeight="1" x14ac:dyDescent="0.3">
      <c r="A4" s="17" t="s">
        <v>44</v>
      </c>
      <c r="B4" s="17" t="s">
        <v>45</v>
      </c>
      <c r="C4" s="18" t="s">
        <v>54</v>
      </c>
      <c r="D4" s="17" t="s">
        <v>47</v>
      </c>
      <c r="E4" s="17" t="s">
        <v>55</v>
      </c>
      <c r="F4" s="17" t="s">
        <v>56</v>
      </c>
      <c r="G4" s="17" t="s">
        <v>57</v>
      </c>
      <c r="H4" s="17" t="s">
        <v>58</v>
      </c>
      <c r="I4" s="15" t="s">
        <v>13</v>
      </c>
      <c r="J4" s="19" t="s">
        <v>59</v>
      </c>
      <c r="K4" s="18" t="s">
        <v>60</v>
      </c>
    </row>
    <row r="5" spans="1:11" ht="15" customHeight="1" x14ac:dyDescent="0.3">
      <c r="A5" s="13" t="s">
        <v>44</v>
      </c>
      <c r="B5" s="13" t="s">
        <v>45</v>
      </c>
      <c r="C5" s="14" t="s">
        <v>61</v>
      </c>
      <c r="D5" s="13" t="s">
        <v>47</v>
      </c>
      <c r="E5" s="13" t="s">
        <v>62</v>
      </c>
      <c r="F5" s="13" t="s">
        <v>63</v>
      </c>
      <c r="G5" s="13" t="s">
        <v>64</v>
      </c>
      <c r="H5" s="13" t="s">
        <v>65</v>
      </c>
      <c r="I5" s="15" t="s">
        <v>13</v>
      </c>
      <c r="J5" s="16" t="s">
        <v>52</v>
      </c>
      <c r="K5" s="14"/>
    </row>
    <row r="6" spans="1:11" ht="15" customHeight="1" x14ac:dyDescent="0.3">
      <c r="A6" s="17" t="s">
        <v>44</v>
      </c>
      <c r="B6" s="17" t="s">
        <v>45</v>
      </c>
      <c r="C6" s="18" t="s">
        <v>66</v>
      </c>
      <c r="D6" s="17" t="s">
        <v>67</v>
      </c>
      <c r="E6" s="17" t="s">
        <v>68</v>
      </c>
      <c r="F6" s="17" t="s">
        <v>69</v>
      </c>
      <c r="G6" s="17" t="s">
        <v>70</v>
      </c>
      <c r="H6" s="17" t="s">
        <v>71</v>
      </c>
      <c r="I6" s="15" t="s">
        <v>13</v>
      </c>
      <c r="J6" s="20" t="s">
        <v>52</v>
      </c>
      <c r="K6" s="18"/>
    </row>
    <row r="7" spans="1:11" ht="15" customHeight="1" x14ac:dyDescent="0.3">
      <c r="A7" s="13" t="s">
        <v>44</v>
      </c>
      <c r="B7" s="13" t="s">
        <v>45</v>
      </c>
      <c r="C7" s="14" t="s">
        <v>72</v>
      </c>
      <c r="D7" s="13" t="s">
        <v>73</v>
      </c>
      <c r="E7" s="13" t="s">
        <v>74</v>
      </c>
      <c r="F7" s="13" t="s">
        <v>75</v>
      </c>
      <c r="G7" s="13"/>
      <c r="H7" s="13" t="s">
        <v>76</v>
      </c>
      <c r="I7" s="15" t="s">
        <v>13</v>
      </c>
      <c r="J7" s="16" t="s">
        <v>52</v>
      </c>
      <c r="K7" s="14" t="s">
        <v>77</v>
      </c>
    </row>
    <row r="8" spans="1:11" ht="15" customHeight="1" x14ac:dyDescent="0.3">
      <c r="A8" s="17" t="s">
        <v>44</v>
      </c>
      <c r="B8" s="17" t="s">
        <v>45</v>
      </c>
      <c r="C8" s="18" t="s">
        <v>78</v>
      </c>
      <c r="D8" s="17" t="s">
        <v>67</v>
      </c>
      <c r="E8" s="17" t="s">
        <v>79</v>
      </c>
      <c r="F8" s="17" t="s">
        <v>80</v>
      </c>
      <c r="G8" s="17" t="s">
        <v>81</v>
      </c>
      <c r="H8" s="17" t="s">
        <v>82</v>
      </c>
      <c r="I8" s="21" t="s">
        <v>15</v>
      </c>
      <c r="J8" s="20" t="s">
        <v>52</v>
      </c>
      <c r="K8" s="18" t="s">
        <v>83</v>
      </c>
    </row>
    <row r="9" spans="1:11" ht="15" customHeight="1" x14ac:dyDescent="0.3">
      <c r="A9" s="13" t="s">
        <v>44</v>
      </c>
      <c r="B9" s="13" t="s">
        <v>45</v>
      </c>
      <c r="C9" s="14" t="s">
        <v>84</v>
      </c>
      <c r="D9" s="13" t="s">
        <v>67</v>
      </c>
      <c r="E9" s="13" t="s">
        <v>85</v>
      </c>
      <c r="F9" s="13" t="s">
        <v>86</v>
      </c>
      <c r="G9" s="13" t="s">
        <v>87</v>
      </c>
      <c r="H9" s="13" t="s">
        <v>88</v>
      </c>
      <c r="I9" s="21" t="s">
        <v>15</v>
      </c>
      <c r="J9" s="22" t="s">
        <v>59</v>
      </c>
      <c r="K9" s="14" t="s">
        <v>89</v>
      </c>
    </row>
    <row r="10" spans="1:11" ht="15" customHeight="1" x14ac:dyDescent="0.3">
      <c r="A10" s="17" t="s">
        <v>44</v>
      </c>
      <c r="B10" s="17" t="s">
        <v>45</v>
      </c>
      <c r="C10" s="18" t="s">
        <v>90</v>
      </c>
      <c r="D10" s="17" t="s">
        <v>67</v>
      </c>
      <c r="E10" s="17" t="s">
        <v>91</v>
      </c>
      <c r="F10" s="17" t="s">
        <v>92</v>
      </c>
      <c r="G10" s="17" t="s">
        <v>93</v>
      </c>
      <c r="H10" s="17" t="s">
        <v>94</v>
      </c>
      <c r="I10" s="21" t="s">
        <v>15</v>
      </c>
      <c r="J10" s="20" t="s">
        <v>52</v>
      </c>
      <c r="K10" s="18"/>
    </row>
    <row r="11" spans="1:11" ht="15" customHeight="1" x14ac:dyDescent="0.3">
      <c r="A11" s="13" t="s">
        <v>44</v>
      </c>
      <c r="B11" s="13" t="s">
        <v>45</v>
      </c>
      <c r="C11" s="14" t="s">
        <v>95</v>
      </c>
      <c r="D11" s="13" t="s">
        <v>47</v>
      </c>
      <c r="E11" s="13" t="s">
        <v>96</v>
      </c>
      <c r="F11" s="13" t="s">
        <v>97</v>
      </c>
      <c r="G11" s="13" t="s">
        <v>98</v>
      </c>
      <c r="H11" s="13" t="s">
        <v>99</v>
      </c>
      <c r="I11" s="15" t="s">
        <v>13</v>
      </c>
      <c r="J11" s="22" t="s">
        <v>59</v>
      </c>
      <c r="K11" s="14" t="s">
        <v>100</v>
      </c>
    </row>
    <row r="12" spans="1:11" ht="15" customHeight="1" x14ac:dyDescent="0.3">
      <c r="A12" s="17" t="s">
        <v>44</v>
      </c>
      <c r="B12" s="17" t="s">
        <v>45</v>
      </c>
      <c r="C12" s="18" t="s">
        <v>101</v>
      </c>
      <c r="D12" s="17" t="s">
        <v>67</v>
      </c>
      <c r="E12" s="17" t="s">
        <v>79</v>
      </c>
      <c r="F12" s="17" t="s">
        <v>102</v>
      </c>
      <c r="G12" s="17" t="s">
        <v>103</v>
      </c>
      <c r="H12" s="17" t="s">
        <v>104</v>
      </c>
      <c r="I12" s="21" t="s">
        <v>15</v>
      </c>
      <c r="J12" s="19" t="s">
        <v>59</v>
      </c>
      <c r="K12" s="18"/>
    </row>
    <row r="13" spans="1:11" ht="15" customHeight="1" x14ac:dyDescent="0.3">
      <c r="A13" s="13" t="s">
        <v>44</v>
      </c>
      <c r="B13" s="13" t="s">
        <v>105</v>
      </c>
      <c r="C13" s="14" t="s">
        <v>106</v>
      </c>
      <c r="D13" s="13" t="s">
        <v>47</v>
      </c>
      <c r="E13" s="13" t="s">
        <v>107</v>
      </c>
      <c r="F13" s="13" t="s">
        <v>108</v>
      </c>
      <c r="G13" s="13" t="s">
        <v>109</v>
      </c>
      <c r="H13" s="13" t="s">
        <v>110</v>
      </c>
      <c r="I13" s="15" t="s">
        <v>13</v>
      </c>
      <c r="J13" s="16" t="s">
        <v>52</v>
      </c>
      <c r="K13" s="14"/>
    </row>
    <row r="14" spans="1:11" ht="15" customHeight="1" x14ac:dyDescent="0.3">
      <c r="A14" s="17" t="s">
        <v>44</v>
      </c>
      <c r="B14" s="17" t="s">
        <v>105</v>
      </c>
      <c r="C14" s="18" t="s">
        <v>111</v>
      </c>
      <c r="D14" s="17" t="s">
        <v>47</v>
      </c>
      <c r="E14" s="17" t="s">
        <v>112</v>
      </c>
      <c r="F14" s="17" t="s">
        <v>113</v>
      </c>
      <c r="G14" s="17" t="s">
        <v>114</v>
      </c>
      <c r="H14" s="17" t="s">
        <v>115</v>
      </c>
      <c r="I14" s="15" t="s">
        <v>13</v>
      </c>
      <c r="J14" s="20" t="s">
        <v>52</v>
      </c>
      <c r="K14" s="18"/>
    </row>
    <row r="15" spans="1:11" ht="15" customHeight="1" x14ac:dyDescent="0.3">
      <c r="A15" s="13" t="s">
        <v>44</v>
      </c>
      <c r="B15" s="13" t="s">
        <v>105</v>
      </c>
      <c r="C15" s="14" t="s">
        <v>116</v>
      </c>
      <c r="D15" s="13" t="s">
        <v>67</v>
      </c>
      <c r="E15" s="13" t="s">
        <v>79</v>
      </c>
      <c r="F15" s="13" t="s">
        <v>117</v>
      </c>
      <c r="G15" s="13" t="s">
        <v>118</v>
      </c>
      <c r="H15" s="13" t="s">
        <v>119</v>
      </c>
      <c r="I15" s="15" t="s">
        <v>13</v>
      </c>
      <c r="J15" s="16" t="s">
        <v>52</v>
      </c>
      <c r="K15" s="14"/>
    </row>
    <row r="16" spans="1:11" ht="15" customHeight="1" x14ac:dyDescent="0.3">
      <c r="A16" s="17" t="s">
        <v>44</v>
      </c>
      <c r="B16" s="17" t="s">
        <v>105</v>
      </c>
      <c r="C16" s="18" t="s">
        <v>120</v>
      </c>
      <c r="D16" s="17" t="s">
        <v>47</v>
      </c>
      <c r="E16" s="17" t="s">
        <v>121</v>
      </c>
      <c r="F16" s="17" t="s">
        <v>122</v>
      </c>
      <c r="G16" s="17" t="s">
        <v>123</v>
      </c>
      <c r="H16" s="17" t="s">
        <v>124</v>
      </c>
      <c r="I16" s="21" t="s">
        <v>15</v>
      </c>
      <c r="J16" s="20" t="s">
        <v>52</v>
      </c>
      <c r="K16" s="18" t="s">
        <v>125</v>
      </c>
    </row>
    <row r="17" spans="1:11" ht="15" customHeight="1" x14ac:dyDescent="0.3">
      <c r="A17" s="13" t="s">
        <v>44</v>
      </c>
      <c r="B17" s="13" t="s">
        <v>105</v>
      </c>
      <c r="C17" s="14" t="s">
        <v>126</v>
      </c>
      <c r="D17" s="13" t="s">
        <v>67</v>
      </c>
      <c r="E17" s="13" t="s">
        <v>79</v>
      </c>
      <c r="F17" s="13" t="s">
        <v>127</v>
      </c>
      <c r="G17" s="13" t="s">
        <v>128</v>
      </c>
      <c r="H17" s="13" t="s">
        <v>129</v>
      </c>
      <c r="I17" s="21" t="s">
        <v>15</v>
      </c>
      <c r="J17" s="16" t="s">
        <v>52</v>
      </c>
      <c r="K17" s="14"/>
    </row>
    <row r="18" spans="1:11" ht="15" customHeight="1" x14ac:dyDescent="0.3">
      <c r="A18" s="17" t="s">
        <v>44</v>
      </c>
      <c r="B18" s="17" t="s">
        <v>105</v>
      </c>
      <c r="C18" s="18" t="s">
        <v>130</v>
      </c>
      <c r="D18" s="17" t="s">
        <v>67</v>
      </c>
      <c r="E18" s="17" t="s">
        <v>79</v>
      </c>
      <c r="F18" s="17" t="s">
        <v>131</v>
      </c>
      <c r="G18" s="17" t="s">
        <v>132</v>
      </c>
      <c r="H18" s="17" t="s">
        <v>133</v>
      </c>
      <c r="I18" s="21" t="s">
        <v>15</v>
      </c>
      <c r="J18" s="20" t="s">
        <v>52</v>
      </c>
      <c r="K18" s="18"/>
    </row>
    <row r="19" spans="1:11" ht="15" customHeight="1" x14ac:dyDescent="0.3">
      <c r="A19" s="13" t="s">
        <v>44</v>
      </c>
      <c r="B19" s="13" t="s">
        <v>105</v>
      </c>
      <c r="C19" s="14" t="s">
        <v>134</v>
      </c>
      <c r="D19" s="13" t="s">
        <v>135</v>
      </c>
      <c r="E19" s="13" t="s">
        <v>136</v>
      </c>
      <c r="F19" s="13" t="s">
        <v>137</v>
      </c>
      <c r="G19" s="13" t="s">
        <v>138</v>
      </c>
      <c r="H19" s="13" t="s">
        <v>139</v>
      </c>
      <c r="I19" s="23" t="s">
        <v>17</v>
      </c>
      <c r="J19" s="16" t="s">
        <v>52</v>
      </c>
      <c r="K19" s="14" t="s">
        <v>140</v>
      </c>
    </row>
    <row r="20" spans="1:11" ht="15" customHeight="1" x14ac:dyDescent="0.3">
      <c r="A20" s="17" t="s">
        <v>44</v>
      </c>
      <c r="B20" s="17" t="s">
        <v>105</v>
      </c>
      <c r="C20" s="18" t="s">
        <v>141</v>
      </c>
      <c r="D20" s="17" t="s">
        <v>67</v>
      </c>
      <c r="E20" s="17" t="s">
        <v>79</v>
      </c>
      <c r="F20" s="17" t="s">
        <v>142</v>
      </c>
      <c r="G20" s="17" t="s">
        <v>143</v>
      </c>
      <c r="H20" s="17" t="s">
        <v>144</v>
      </c>
      <c r="I20" s="23" t="s">
        <v>17</v>
      </c>
      <c r="J20" s="20" t="s">
        <v>52</v>
      </c>
      <c r="K20" s="18"/>
    </row>
    <row r="21" spans="1:11" ht="15" customHeight="1" x14ac:dyDescent="0.3">
      <c r="A21" s="13" t="s">
        <v>44</v>
      </c>
      <c r="B21" s="13" t="s">
        <v>105</v>
      </c>
      <c r="C21" s="14" t="s">
        <v>145</v>
      </c>
      <c r="D21" s="13" t="s">
        <v>67</v>
      </c>
      <c r="E21" s="13" t="s">
        <v>79</v>
      </c>
      <c r="F21" s="13" t="s">
        <v>146</v>
      </c>
      <c r="G21" s="13" t="s">
        <v>147</v>
      </c>
      <c r="H21" s="13" t="s">
        <v>148</v>
      </c>
      <c r="I21" s="23" t="s">
        <v>17</v>
      </c>
      <c r="J21" s="16" t="s">
        <v>52</v>
      </c>
      <c r="K21" s="14"/>
    </row>
    <row r="22" spans="1:11" ht="15" customHeight="1" x14ac:dyDescent="0.3">
      <c r="A22" s="17" t="s">
        <v>44</v>
      </c>
      <c r="B22" s="17" t="s">
        <v>105</v>
      </c>
      <c r="C22" s="18" t="s">
        <v>149</v>
      </c>
      <c r="D22" s="17" t="s">
        <v>67</v>
      </c>
      <c r="E22" s="17" t="s">
        <v>79</v>
      </c>
      <c r="F22" s="17" t="s">
        <v>150</v>
      </c>
      <c r="G22" s="17" t="s">
        <v>151</v>
      </c>
      <c r="H22" s="17" t="s">
        <v>152</v>
      </c>
      <c r="I22" s="21" t="s">
        <v>15</v>
      </c>
      <c r="J22" s="19" t="s">
        <v>59</v>
      </c>
      <c r="K22" s="18" t="s">
        <v>153</v>
      </c>
    </row>
    <row r="23" spans="1:11" ht="15" customHeight="1" x14ac:dyDescent="0.3">
      <c r="A23" s="13" t="s">
        <v>44</v>
      </c>
      <c r="B23" s="13" t="s">
        <v>105</v>
      </c>
      <c r="C23" s="14" t="s">
        <v>154</v>
      </c>
      <c r="D23" s="13" t="s">
        <v>135</v>
      </c>
      <c r="E23" s="13" t="s">
        <v>79</v>
      </c>
      <c r="F23" s="13" t="s">
        <v>155</v>
      </c>
      <c r="G23" s="13" t="s">
        <v>156</v>
      </c>
      <c r="H23" s="13" t="s">
        <v>157</v>
      </c>
      <c r="I23" s="23" t="s">
        <v>17</v>
      </c>
      <c r="J23" s="22" t="s">
        <v>59</v>
      </c>
      <c r="K23" s="14"/>
    </row>
    <row r="24" spans="1:11" ht="15" customHeight="1" x14ac:dyDescent="0.3">
      <c r="A24" s="17" t="s">
        <v>44</v>
      </c>
      <c r="B24" s="17" t="s">
        <v>158</v>
      </c>
      <c r="C24" s="18" t="s">
        <v>159</v>
      </c>
      <c r="D24" s="17" t="s">
        <v>47</v>
      </c>
      <c r="E24" s="17" t="s">
        <v>55</v>
      </c>
      <c r="F24" s="17" t="s">
        <v>160</v>
      </c>
      <c r="G24" s="17" t="s">
        <v>161</v>
      </c>
      <c r="H24" s="17" t="s">
        <v>162</v>
      </c>
      <c r="I24" s="15" t="s">
        <v>13</v>
      </c>
      <c r="J24" s="20" t="s">
        <v>52</v>
      </c>
      <c r="K24" s="18"/>
    </row>
    <row r="25" spans="1:11" ht="15" customHeight="1" x14ac:dyDescent="0.3">
      <c r="A25" s="13" t="s">
        <v>44</v>
      </c>
      <c r="B25" s="13" t="s">
        <v>158</v>
      </c>
      <c r="C25" s="14" t="s">
        <v>163</v>
      </c>
      <c r="D25" s="13" t="s">
        <v>47</v>
      </c>
      <c r="E25" s="13" t="s">
        <v>79</v>
      </c>
      <c r="F25" s="13" t="s">
        <v>164</v>
      </c>
      <c r="G25" s="13" t="s">
        <v>165</v>
      </c>
      <c r="H25" s="13" t="s">
        <v>166</v>
      </c>
      <c r="I25" s="15" t="s">
        <v>13</v>
      </c>
      <c r="J25" s="16" t="s">
        <v>52</v>
      </c>
      <c r="K25" s="14" t="s">
        <v>167</v>
      </c>
    </row>
    <row r="26" spans="1:11" ht="15" customHeight="1" x14ac:dyDescent="0.3">
      <c r="A26" s="17" t="s">
        <v>44</v>
      </c>
      <c r="B26" s="17" t="s">
        <v>158</v>
      </c>
      <c r="C26" s="18" t="s">
        <v>168</v>
      </c>
      <c r="D26" s="17" t="s">
        <v>47</v>
      </c>
      <c r="E26" s="17" t="s">
        <v>169</v>
      </c>
      <c r="F26" s="17" t="s">
        <v>170</v>
      </c>
      <c r="G26" s="17" t="s">
        <v>171</v>
      </c>
      <c r="H26" s="17" t="s">
        <v>172</v>
      </c>
      <c r="I26" s="15" t="s">
        <v>13</v>
      </c>
      <c r="J26" s="20" t="s">
        <v>52</v>
      </c>
      <c r="K26" s="18"/>
    </row>
    <row r="27" spans="1:11" ht="15" customHeight="1" x14ac:dyDescent="0.3">
      <c r="A27" s="13" t="s">
        <v>44</v>
      </c>
      <c r="B27" s="13" t="s">
        <v>158</v>
      </c>
      <c r="C27" s="14" t="s">
        <v>173</v>
      </c>
      <c r="D27" s="13" t="s">
        <v>67</v>
      </c>
      <c r="E27" s="13" t="s">
        <v>174</v>
      </c>
      <c r="F27" s="13" t="s">
        <v>175</v>
      </c>
      <c r="G27" s="13" t="s">
        <v>176</v>
      </c>
      <c r="H27" s="13" t="s">
        <v>177</v>
      </c>
      <c r="I27" s="21" t="s">
        <v>15</v>
      </c>
      <c r="J27" s="16" t="s">
        <v>52</v>
      </c>
      <c r="K27" s="14" t="s">
        <v>178</v>
      </c>
    </row>
    <row r="28" spans="1:11" ht="15" customHeight="1" x14ac:dyDescent="0.3">
      <c r="A28" s="17" t="s">
        <v>44</v>
      </c>
      <c r="B28" s="17" t="s">
        <v>158</v>
      </c>
      <c r="C28" s="18" t="s">
        <v>179</v>
      </c>
      <c r="D28" s="17" t="s">
        <v>67</v>
      </c>
      <c r="E28" s="17" t="s">
        <v>79</v>
      </c>
      <c r="F28" s="17" t="s">
        <v>180</v>
      </c>
      <c r="G28" s="17" t="s">
        <v>181</v>
      </c>
      <c r="H28" s="17" t="s">
        <v>182</v>
      </c>
      <c r="I28" s="21" t="s">
        <v>15</v>
      </c>
      <c r="J28" s="20" t="s">
        <v>52</v>
      </c>
      <c r="K28" s="18"/>
    </row>
    <row r="29" spans="1:11" ht="15" customHeight="1" x14ac:dyDescent="0.3">
      <c r="A29" s="13" t="s">
        <v>44</v>
      </c>
      <c r="B29" s="13" t="s">
        <v>158</v>
      </c>
      <c r="C29" s="14" t="s">
        <v>183</v>
      </c>
      <c r="D29" s="13" t="s">
        <v>67</v>
      </c>
      <c r="E29" s="13" t="s">
        <v>79</v>
      </c>
      <c r="F29" s="13" t="s">
        <v>184</v>
      </c>
      <c r="G29" s="13" t="s">
        <v>185</v>
      </c>
      <c r="H29" s="13" t="s">
        <v>186</v>
      </c>
      <c r="I29" s="23" t="s">
        <v>17</v>
      </c>
      <c r="J29" s="16" t="s">
        <v>52</v>
      </c>
      <c r="K29" s="14"/>
    </row>
    <row r="30" spans="1:11" ht="15" customHeight="1" x14ac:dyDescent="0.3">
      <c r="A30" s="17" t="s">
        <v>44</v>
      </c>
      <c r="B30" s="17" t="s">
        <v>158</v>
      </c>
      <c r="C30" s="18" t="s">
        <v>187</v>
      </c>
      <c r="D30" s="17" t="s">
        <v>67</v>
      </c>
      <c r="E30" s="17" t="s">
        <v>79</v>
      </c>
      <c r="F30" s="17" t="s">
        <v>188</v>
      </c>
      <c r="G30" s="17" t="s">
        <v>189</v>
      </c>
      <c r="H30" s="17" t="s">
        <v>190</v>
      </c>
      <c r="I30" s="23" t="s">
        <v>17</v>
      </c>
      <c r="J30" s="20" t="s">
        <v>52</v>
      </c>
      <c r="K30" s="18"/>
    </row>
    <row r="31" spans="1:11" ht="15" customHeight="1" x14ac:dyDescent="0.3">
      <c r="A31" s="13" t="s">
        <v>44</v>
      </c>
      <c r="B31" s="13" t="s">
        <v>158</v>
      </c>
      <c r="C31" s="14" t="s">
        <v>191</v>
      </c>
      <c r="D31" s="13" t="s">
        <v>67</v>
      </c>
      <c r="E31" s="13" t="s">
        <v>79</v>
      </c>
      <c r="F31" s="13" t="s">
        <v>192</v>
      </c>
      <c r="G31" s="13" t="s">
        <v>193</v>
      </c>
      <c r="H31" s="13" t="s">
        <v>194</v>
      </c>
      <c r="I31" s="23" t="s">
        <v>17</v>
      </c>
      <c r="J31" s="22" t="s">
        <v>59</v>
      </c>
      <c r="K31" s="14"/>
    </row>
    <row r="32" spans="1:11" ht="15" customHeight="1" x14ac:dyDescent="0.3">
      <c r="A32" s="17" t="s">
        <v>44</v>
      </c>
      <c r="B32" s="17" t="s">
        <v>195</v>
      </c>
      <c r="C32" s="18" t="s">
        <v>196</v>
      </c>
      <c r="D32" s="17" t="s">
        <v>47</v>
      </c>
      <c r="E32" s="17" t="s">
        <v>169</v>
      </c>
      <c r="F32" s="17" t="s">
        <v>197</v>
      </c>
      <c r="G32" s="17" t="s">
        <v>198</v>
      </c>
      <c r="H32" s="17" t="s">
        <v>199</v>
      </c>
      <c r="I32" s="15" t="s">
        <v>13</v>
      </c>
      <c r="J32" s="20" t="s">
        <v>52</v>
      </c>
      <c r="K32" s="18"/>
    </row>
    <row r="33" spans="1:11" ht="15" customHeight="1" x14ac:dyDescent="0.3">
      <c r="A33" s="13" t="s">
        <v>44</v>
      </c>
      <c r="B33" s="13" t="s">
        <v>195</v>
      </c>
      <c r="C33" s="14" t="s">
        <v>200</v>
      </c>
      <c r="D33" s="13" t="s">
        <v>47</v>
      </c>
      <c r="E33" s="13" t="s">
        <v>201</v>
      </c>
      <c r="F33" s="13" t="s">
        <v>202</v>
      </c>
      <c r="G33" s="13" t="s">
        <v>203</v>
      </c>
      <c r="H33" s="13" t="s">
        <v>204</v>
      </c>
      <c r="I33" s="15" t="s">
        <v>13</v>
      </c>
      <c r="J33" s="16" t="s">
        <v>52</v>
      </c>
      <c r="K33" s="14" t="s">
        <v>205</v>
      </c>
    </row>
    <row r="34" spans="1:11" ht="15" customHeight="1" x14ac:dyDescent="0.3">
      <c r="A34" s="17" t="s">
        <v>44</v>
      </c>
      <c r="B34" s="17" t="s">
        <v>195</v>
      </c>
      <c r="C34" s="18" t="s">
        <v>206</v>
      </c>
      <c r="D34" s="17" t="s">
        <v>67</v>
      </c>
      <c r="E34" s="17" t="s">
        <v>79</v>
      </c>
      <c r="F34" s="17" t="s">
        <v>207</v>
      </c>
      <c r="G34" s="17" t="s">
        <v>208</v>
      </c>
      <c r="H34" s="17" t="s">
        <v>209</v>
      </c>
      <c r="I34" s="21" t="s">
        <v>15</v>
      </c>
      <c r="J34" s="20" t="s">
        <v>52</v>
      </c>
      <c r="K34" s="18"/>
    </row>
    <row r="35" spans="1:11" ht="15" customHeight="1" x14ac:dyDescent="0.3">
      <c r="A35" s="13" t="s">
        <v>44</v>
      </c>
      <c r="B35" s="13" t="s">
        <v>195</v>
      </c>
      <c r="C35" s="14" t="s">
        <v>210</v>
      </c>
      <c r="D35" s="13" t="s">
        <v>67</v>
      </c>
      <c r="E35" s="13" t="s">
        <v>79</v>
      </c>
      <c r="F35" s="13" t="s">
        <v>211</v>
      </c>
      <c r="G35" s="13" t="s">
        <v>212</v>
      </c>
      <c r="H35" s="13" t="s">
        <v>213</v>
      </c>
      <c r="I35" s="21" t="s">
        <v>15</v>
      </c>
      <c r="J35" s="16" t="s">
        <v>52</v>
      </c>
      <c r="K35" s="14"/>
    </row>
    <row r="36" spans="1:11" ht="15" customHeight="1" x14ac:dyDescent="0.3">
      <c r="A36" s="17" t="s">
        <v>44</v>
      </c>
      <c r="B36" s="17" t="s">
        <v>195</v>
      </c>
      <c r="C36" s="18" t="s">
        <v>214</v>
      </c>
      <c r="D36" s="17" t="s">
        <v>67</v>
      </c>
      <c r="E36" s="17" t="s">
        <v>79</v>
      </c>
      <c r="F36" s="17" t="s">
        <v>215</v>
      </c>
      <c r="G36" s="17" t="s">
        <v>216</v>
      </c>
      <c r="H36" s="17" t="s">
        <v>217</v>
      </c>
      <c r="I36" s="23" t="s">
        <v>17</v>
      </c>
      <c r="J36" s="20" t="s">
        <v>52</v>
      </c>
      <c r="K36" s="18" t="s">
        <v>218</v>
      </c>
    </row>
    <row r="37" spans="1:11" ht="15" customHeight="1" x14ac:dyDescent="0.3">
      <c r="A37" s="13" t="s">
        <v>44</v>
      </c>
      <c r="B37" s="13" t="s">
        <v>195</v>
      </c>
      <c r="C37" s="14" t="s">
        <v>219</v>
      </c>
      <c r="D37" s="13" t="s">
        <v>67</v>
      </c>
      <c r="E37" s="13" t="s">
        <v>79</v>
      </c>
      <c r="F37" s="13" t="s">
        <v>220</v>
      </c>
      <c r="G37" s="13" t="s">
        <v>221</v>
      </c>
      <c r="H37" s="13" t="s">
        <v>222</v>
      </c>
      <c r="I37" s="23" t="s">
        <v>17</v>
      </c>
      <c r="J37" s="22" t="s">
        <v>59</v>
      </c>
      <c r="K37" s="14"/>
    </row>
    <row r="38" spans="1:11" ht="15" customHeight="1" x14ac:dyDescent="0.3">
      <c r="A38" s="17" t="s">
        <v>44</v>
      </c>
      <c r="B38" s="17" t="s">
        <v>223</v>
      </c>
      <c r="C38" s="18" t="s">
        <v>224</v>
      </c>
      <c r="D38" s="17" t="s">
        <v>47</v>
      </c>
      <c r="E38" s="17" t="s">
        <v>225</v>
      </c>
      <c r="F38" s="17" t="s">
        <v>226</v>
      </c>
      <c r="G38" s="17" t="s">
        <v>227</v>
      </c>
      <c r="H38" s="17" t="s">
        <v>228</v>
      </c>
      <c r="I38" s="15" t="s">
        <v>13</v>
      </c>
      <c r="J38" s="20" t="s">
        <v>52</v>
      </c>
      <c r="K38" s="18" t="s">
        <v>229</v>
      </c>
    </row>
    <row r="39" spans="1:11" ht="15" customHeight="1" x14ac:dyDescent="0.3">
      <c r="A39" s="13" t="s">
        <v>44</v>
      </c>
      <c r="B39" s="13" t="s">
        <v>223</v>
      </c>
      <c r="C39" s="14" t="s">
        <v>230</v>
      </c>
      <c r="D39" s="13" t="s">
        <v>47</v>
      </c>
      <c r="E39" s="13" t="s">
        <v>79</v>
      </c>
      <c r="F39" s="13" t="s">
        <v>231</v>
      </c>
      <c r="G39" s="13" t="s">
        <v>232</v>
      </c>
      <c r="H39" s="13" t="s">
        <v>233</v>
      </c>
      <c r="I39" s="15" t="s">
        <v>13</v>
      </c>
      <c r="J39" s="16" t="s">
        <v>52</v>
      </c>
      <c r="K39" s="14"/>
    </row>
    <row r="40" spans="1:11" ht="15" customHeight="1" x14ac:dyDescent="0.3">
      <c r="A40" s="17" t="s">
        <v>44</v>
      </c>
      <c r="B40" s="17" t="s">
        <v>223</v>
      </c>
      <c r="C40" s="18" t="s">
        <v>234</v>
      </c>
      <c r="D40" s="17" t="s">
        <v>47</v>
      </c>
      <c r="E40" s="17" t="s">
        <v>235</v>
      </c>
      <c r="F40" s="17" t="s">
        <v>97</v>
      </c>
      <c r="G40" s="17" t="s">
        <v>236</v>
      </c>
      <c r="H40" s="17" t="s">
        <v>237</v>
      </c>
      <c r="I40" s="21" t="s">
        <v>15</v>
      </c>
      <c r="J40" s="19" t="s">
        <v>59</v>
      </c>
      <c r="K40" s="18"/>
    </row>
    <row r="41" spans="1:11" ht="15" customHeight="1" x14ac:dyDescent="0.3">
      <c r="A41" s="13" t="s">
        <v>44</v>
      </c>
      <c r="B41" s="13" t="s">
        <v>223</v>
      </c>
      <c r="C41" s="14" t="s">
        <v>238</v>
      </c>
      <c r="D41" s="13" t="s">
        <v>47</v>
      </c>
      <c r="E41" s="13" t="s">
        <v>239</v>
      </c>
      <c r="F41" s="13" t="s">
        <v>240</v>
      </c>
      <c r="G41" s="13" t="s">
        <v>241</v>
      </c>
      <c r="H41" s="13" t="s">
        <v>242</v>
      </c>
      <c r="I41" s="21" t="s">
        <v>15</v>
      </c>
      <c r="J41" s="16" t="s">
        <v>52</v>
      </c>
      <c r="K41" s="14" t="s">
        <v>243</v>
      </c>
    </row>
    <row r="42" spans="1:11" ht="15" customHeight="1" x14ac:dyDescent="0.3">
      <c r="A42" s="17" t="s">
        <v>44</v>
      </c>
      <c r="B42" s="17" t="s">
        <v>244</v>
      </c>
      <c r="C42" s="18" t="s">
        <v>245</v>
      </c>
      <c r="D42" s="17" t="s">
        <v>47</v>
      </c>
      <c r="E42" s="17" t="s">
        <v>169</v>
      </c>
      <c r="F42" s="17" t="s">
        <v>246</v>
      </c>
      <c r="G42" s="17" t="s">
        <v>247</v>
      </c>
      <c r="H42" s="17" t="s">
        <v>88</v>
      </c>
      <c r="I42" s="15" t="s">
        <v>13</v>
      </c>
      <c r="J42" s="20" t="s">
        <v>52</v>
      </c>
      <c r="K42" s="18" t="s">
        <v>248</v>
      </c>
    </row>
    <row r="43" spans="1:11" ht="15" customHeight="1" x14ac:dyDescent="0.3">
      <c r="A43" s="13" t="s">
        <v>44</v>
      </c>
      <c r="B43" s="13" t="s">
        <v>244</v>
      </c>
      <c r="C43" s="14" t="s">
        <v>249</v>
      </c>
      <c r="D43" s="13" t="s">
        <v>47</v>
      </c>
      <c r="E43" s="13" t="s">
        <v>55</v>
      </c>
      <c r="F43" s="13" t="s">
        <v>250</v>
      </c>
      <c r="G43" s="13" t="s">
        <v>251</v>
      </c>
      <c r="H43" s="13" t="s">
        <v>252</v>
      </c>
      <c r="I43" s="15" t="s">
        <v>13</v>
      </c>
      <c r="J43" s="22" t="s">
        <v>59</v>
      </c>
      <c r="K43" s="14" t="s">
        <v>253</v>
      </c>
    </row>
    <row r="44" spans="1:11" ht="15" customHeight="1" x14ac:dyDescent="0.3">
      <c r="A44" s="17" t="s">
        <v>44</v>
      </c>
      <c r="B44" s="17" t="s">
        <v>254</v>
      </c>
      <c r="C44" s="18" t="s">
        <v>255</v>
      </c>
      <c r="D44" s="17" t="s">
        <v>47</v>
      </c>
      <c r="E44" s="17" t="s">
        <v>256</v>
      </c>
      <c r="F44" s="17" t="s">
        <v>257</v>
      </c>
      <c r="G44" s="17" t="s">
        <v>258</v>
      </c>
      <c r="H44" s="17" t="s">
        <v>259</v>
      </c>
      <c r="I44" s="15" t="s">
        <v>13</v>
      </c>
      <c r="J44" s="20" t="s">
        <v>52</v>
      </c>
      <c r="K44" s="18"/>
    </row>
    <row r="45" spans="1:11" ht="15" customHeight="1" x14ac:dyDescent="0.3">
      <c r="A45" s="13" t="s">
        <v>44</v>
      </c>
      <c r="B45" s="13" t="s">
        <v>223</v>
      </c>
      <c r="C45" s="14" t="s">
        <v>260</v>
      </c>
      <c r="D45" s="13" t="s">
        <v>47</v>
      </c>
      <c r="E45" s="13" t="s">
        <v>79</v>
      </c>
      <c r="F45" s="13" t="s">
        <v>261</v>
      </c>
      <c r="G45" s="13" t="s">
        <v>262</v>
      </c>
      <c r="H45" s="13" t="s">
        <v>263</v>
      </c>
      <c r="I45" s="21" t="s">
        <v>15</v>
      </c>
      <c r="J45" s="22" t="s">
        <v>59</v>
      </c>
      <c r="K45" s="14"/>
    </row>
    <row r="46" spans="1:11" ht="15" customHeight="1" x14ac:dyDescent="0.3">
      <c r="A46" s="17" t="s">
        <v>44</v>
      </c>
      <c r="B46" s="17" t="s">
        <v>45</v>
      </c>
      <c r="C46" s="18" t="s">
        <v>264</v>
      </c>
      <c r="D46" s="17" t="s">
        <v>135</v>
      </c>
      <c r="E46" s="17" t="s">
        <v>136</v>
      </c>
      <c r="F46" s="17" t="s">
        <v>265</v>
      </c>
      <c r="G46" s="17" t="s">
        <v>266</v>
      </c>
      <c r="H46" s="17"/>
      <c r="I46" s="23" t="s">
        <v>17</v>
      </c>
      <c r="J46" s="20" t="s">
        <v>52</v>
      </c>
      <c r="K46" s="18"/>
    </row>
    <row r="47" spans="1:11" ht="23.25" customHeight="1" x14ac:dyDescent="0.3">
      <c r="A47" s="13" t="s">
        <v>267</v>
      </c>
      <c r="B47" s="13" t="s">
        <v>268</v>
      </c>
      <c r="C47" s="14" t="s">
        <v>269</v>
      </c>
      <c r="D47" s="13" t="s">
        <v>270</v>
      </c>
      <c r="E47" s="13" t="s">
        <v>271</v>
      </c>
      <c r="F47" s="13" t="s">
        <v>272</v>
      </c>
      <c r="G47" s="13"/>
      <c r="H47" s="13" t="s">
        <v>273</v>
      </c>
      <c r="I47" s="15" t="s">
        <v>13</v>
      </c>
      <c r="J47" s="22" t="s">
        <v>59</v>
      </c>
      <c r="K47" s="14" t="s">
        <v>274</v>
      </c>
    </row>
    <row r="48" spans="1:11" ht="23.25" customHeight="1" x14ac:dyDescent="0.3">
      <c r="A48" s="17" t="s">
        <v>267</v>
      </c>
      <c r="B48" s="17" t="s">
        <v>268</v>
      </c>
      <c r="C48" s="18" t="s">
        <v>275</v>
      </c>
      <c r="D48" s="17" t="s">
        <v>276</v>
      </c>
      <c r="E48" s="17" t="s">
        <v>277</v>
      </c>
      <c r="F48" s="17" t="s">
        <v>278</v>
      </c>
      <c r="G48" s="17"/>
      <c r="H48" s="17" t="s">
        <v>279</v>
      </c>
      <c r="I48" s="15" t="s">
        <v>13</v>
      </c>
      <c r="J48" s="19" t="s">
        <v>59</v>
      </c>
      <c r="K48" s="18" t="s">
        <v>280</v>
      </c>
    </row>
    <row r="49" spans="1:11" ht="15" customHeight="1" x14ac:dyDescent="0.3">
      <c r="A49" s="13" t="s">
        <v>267</v>
      </c>
      <c r="B49" s="13" t="s">
        <v>268</v>
      </c>
      <c r="C49" s="14" t="s">
        <v>281</v>
      </c>
      <c r="D49" s="13" t="s">
        <v>282</v>
      </c>
      <c r="E49" s="13" t="s">
        <v>283</v>
      </c>
      <c r="F49" s="13" t="s">
        <v>284</v>
      </c>
      <c r="G49" s="13"/>
      <c r="H49" s="13" t="s">
        <v>285</v>
      </c>
      <c r="I49" s="15" t="s">
        <v>13</v>
      </c>
      <c r="J49" s="22" t="s">
        <v>59</v>
      </c>
      <c r="K49" s="14" t="s">
        <v>286</v>
      </c>
    </row>
    <row r="50" spans="1:11" ht="15" customHeight="1" x14ac:dyDescent="0.3">
      <c r="A50" s="17" t="s">
        <v>267</v>
      </c>
      <c r="B50" s="17" t="s">
        <v>268</v>
      </c>
      <c r="C50" s="18" t="s">
        <v>287</v>
      </c>
      <c r="D50" s="17" t="s">
        <v>288</v>
      </c>
      <c r="E50" s="17" t="s">
        <v>289</v>
      </c>
      <c r="F50" s="17" t="s">
        <v>290</v>
      </c>
      <c r="G50" s="17"/>
      <c r="H50" s="17" t="s">
        <v>291</v>
      </c>
      <c r="I50" s="15" t="s">
        <v>13</v>
      </c>
      <c r="J50" s="19" t="s">
        <v>59</v>
      </c>
      <c r="K50" s="18" t="s">
        <v>292</v>
      </c>
    </row>
    <row r="51" spans="1:11" ht="15" customHeight="1" x14ac:dyDescent="0.3">
      <c r="A51" s="13" t="s">
        <v>267</v>
      </c>
      <c r="B51" s="13" t="s">
        <v>268</v>
      </c>
      <c r="C51" s="14" t="s">
        <v>293</v>
      </c>
      <c r="D51" s="13" t="s">
        <v>294</v>
      </c>
      <c r="E51" s="13" t="s">
        <v>295</v>
      </c>
      <c r="F51" s="13" t="s">
        <v>296</v>
      </c>
      <c r="G51" s="13"/>
      <c r="H51" s="13" t="s">
        <v>297</v>
      </c>
      <c r="I51" s="21" t="s">
        <v>15</v>
      </c>
      <c r="J51" s="22" t="s">
        <v>59</v>
      </c>
      <c r="K51" s="14"/>
    </row>
    <row r="52" spans="1:11" ht="15" customHeight="1" x14ac:dyDescent="0.3">
      <c r="A52" s="17" t="s">
        <v>267</v>
      </c>
      <c r="B52" s="17" t="s">
        <v>268</v>
      </c>
      <c r="C52" s="18" t="s">
        <v>298</v>
      </c>
      <c r="D52" s="17" t="s">
        <v>270</v>
      </c>
      <c r="E52" s="17" t="s">
        <v>299</v>
      </c>
      <c r="F52" s="17" t="s">
        <v>300</v>
      </c>
      <c r="G52" s="17"/>
      <c r="H52" s="17" t="s">
        <v>301</v>
      </c>
      <c r="I52" s="21" t="s">
        <v>15</v>
      </c>
      <c r="J52" s="19" t="s">
        <v>59</v>
      </c>
      <c r="K52" s="18"/>
    </row>
    <row r="53" spans="1:11" ht="15" customHeight="1" x14ac:dyDescent="0.3">
      <c r="A53" s="13" t="s">
        <v>267</v>
      </c>
      <c r="B53" s="13" t="s">
        <v>268</v>
      </c>
      <c r="C53" s="14" t="s">
        <v>302</v>
      </c>
      <c r="D53" s="13" t="s">
        <v>303</v>
      </c>
      <c r="E53" s="13" t="s">
        <v>304</v>
      </c>
      <c r="F53" s="13" t="s">
        <v>305</v>
      </c>
      <c r="G53" s="13"/>
      <c r="H53" s="13" t="s">
        <v>306</v>
      </c>
      <c r="I53" s="21" t="s">
        <v>15</v>
      </c>
      <c r="J53" s="22" t="s">
        <v>59</v>
      </c>
      <c r="K53" s="14" t="s">
        <v>307</v>
      </c>
    </row>
    <row r="54" spans="1:11" ht="15" customHeight="1" x14ac:dyDescent="0.3">
      <c r="A54" s="17" t="s">
        <v>267</v>
      </c>
      <c r="B54" s="17" t="s">
        <v>268</v>
      </c>
      <c r="C54" s="18" t="s">
        <v>308</v>
      </c>
      <c r="D54" s="17" t="s">
        <v>309</v>
      </c>
      <c r="E54" s="17" t="s">
        <v>310</v>
      </c>
      <c r="F54" s="17" t="s">
        <v>311</v>
      </c>
      <c r="G54" s="17"/>
      <c r="H54" s="17" t="s">
        <v>312</v>
      </c>
      <c r="I54" s="21" t="s">
        <v>15</v>
      </c>
      <c r="J54" s="19" t="s">
        <v>59</v>
      </c>
      <c r="K54" s="18"/>
    </row>
    <row r="55" spans="1:11" ht="15" customHeight="1" x14ac:dyDescent="0.3">
      <c r="A55" s="13" t="s">
        <v>267</v>
      </c>
      <c r="B55" s="13" t="s">
        <v>158</v>
      </c>
      <c r="C55" s="14" t="s">
        <v>313</v>
      </c>
      <c r="D55" s="13" t="s">
        <v>314</v>
      </c>
      <c r="E55" s="13" t="s">
        <v>79</v>
      </c>
      <c r="F55" s="13" t="s">
        <v>315</v>
      </c>
      <c r="G55" s="13"/>
      <c r="H55" s="13" t="s">
        <v>316</v>
      </c>
      <c r="I55" s="23" t="s">
        <v>17</v>
      </c>
      <c r="J55" s="22" t="s">
        <v>59</v>
      </c>
      <c r="K55" s="14"/>
    </row>
    <row r="56" spans="1:11" ht="15" customHeight="1" x14ac:dyDescent="0.3">
      <c r="A56" s="17" t="s">
        <v>317</v>
      </c>
      <c r="B56" s="17" t="s">
        <v>318</v>
      </c>
      <c r="C56" s="18" t="s">
        <v>319</v>
      </c>
      <c r="D56" s="17" t="s">
        <v>320</v>
      </c>
      <c r="E56" s="17" t="s">
        <v>321</v>
      </c>
      <c r="F56" s="17" t="s">
        <v>322</v>
      </c>
      <c r="G56" s="17" t="s">
        <v>323</v>
      </c>
      <c r="H56" s="17" t="s">
        <v>324</v>
      </c>
      <c r="I56" s="15" t="s">
        <v>13</v>
      </c>
      <c r="J56" s="20" t="s">
        <v>52</v>
      </c>
      <c r="K56" s="18" t="s">
        <v>325</v>
      </c>
    </row>
    <row r="57" spans="1:11" ht="15" customHeight="1" x14ac:dyDescent="0.3">
      <c r="A57" s="13" t="s">
        <v>317</v>
      </c>
      <c r="B57" s="13" t="s">
        <v>158</v>
      </c>
      <c r="C57" s="14" t="s">
        <v>326</v>
      </c>
      <c r="D57" s="13" t="s">
        <v>327</v>
      </c>
      <c r="E57" s="13" t="s">
        <v>328</v>
      </c>
      <c r="F57" s="13" t="s">
        <v>329</v>
      </c>
      <c r="G57" s="13" t="s">
        <v>330</v>
      </c>
      <c r="H57" s="13" t="s">
        <v>331</v>
      </c>
      <c r="I57" s="15" t="s">
        <v>13</v>
      </c>
      <c r="J57" s="22" t="s">
        <v>59</v>
      </c>
      <c r="K57" s="14" t="s">
        <v>332</v>
      </c>
    </row>
    <row r="58" spans="1:11" ht="15" customHeight="1" x14ac:dyDescent="0.3">
      <c r="A58" s="17" t="s">
        <v>317</v>
      </c>
      <c r="B58" s="17" t="s">
        <v>45</v>
      </c>
      <c r="C58" s="18" t="s">
        <v>333</v>
      </c>
      <c r="D58" s="17" t="s">
        <v>334</v>
      </c>
      <c r="E58" s="17" t="s">
        <v>335</v>
      </c>
      <c r="F58" s="17" t="s">
        <v>56</v>
      </c>
      <c r="G58" s="17" t="s">
        <v>50</v>
      </c>
      <c r="H58" s="17" t="s">
        <v>336</v>
      </c>
      <c r="I58" s="21" t="s">
        <v>15</v>
      </c>
      <c r="J58" s="19" t="s">
        <v>59</v>
      </c>
      <c r="K58" s="18"/>
    </row>
    <row r="59" spans="1:11" ht="15" customHeight="1" x14ac:dyDescent="0.3">
      <c r="A59" s="13" t="s">
        <v>317</v>
      </c>
      <c r="B59" s="13" t="s">
        <v>337</v>
      </c>
      <c r="C59" s="14" t="s">
        <v>338</v>
      </c>
      <c r="D59" s="13" t="s">
        <v>334</v>
      </c>
      <c r="E59" s="13" t="s">
        <v>339</v>
      </c>
      <c r="F59" s="13" t="s">
        <v>340</v>
      </c>
      <c r="G59" s="13" t="s">
        <v>258</v>
      </c>
      <c r="H59" s="13" t="s">
        <v>259</v>
      </c>
      <c r="I59" s="21" t="s">
        <v>15</v>
      </c>
      <c r="J59" s="22" t="s">
        <v>59</v>
      </c>
      <c r="K59" s="14"/>
    </row>
    <row r="60" spans="1:11" ht="15" customHeight="1" x14ac:dyDescent="0.3">
      <c r="A60" s="17" t="s">
        <v>317</v>
      </c>
      <c r="B60" s="17" t="s">
        <v>105</v>
      </c>
      <c r="C60" s="18" t="s">
        <v>341</v>
      </c>
      <c r="D60" s="17" t="s">
        <v>342</v>
      </c>
      <c r="E60" s="17" t="s">
        <v>343</v>
      </c>
      <c r="F60" s="17" t="s">
        <v>344</v>
      </c>
      <c r="G60" s="17" t="s">
        <v>345</v>
      </c>
      <c r="H60" s="17" t="s">
        <v>346</v>
      </c>
      <c r="I60" s="21" t="s">
        <v>15</v>
      </c>
      <c r="J60" s="19" t="s">
        <v>59</v>
      </c>
      <c r="K60" s="18"/>
    </row>
    <row r="61" spans="1:11" ht="15" customHeight="1" x14ac:dyDescent="0.3">
      <c r="A61" s="13" t="s">
        <v>317</v>
      </c>
      <c r="B61" s="13" t="s">
        <v>195</v>
      </c>
      <c r="C61" s="14" t="s">
        <v>347</v>
      </c>
      <c r="D61" s="13" t="s">
        <v>348</v>
      </c>
      <c r="E61" s="13" t="s">
        <v>79</v>
      </c>
      <c r="F61" s="13" t="s">
        <v>349</v>
      </c>
      <c r="G61" s="13" t="s">
        <v>350</v>
      </c>
      <c r="H61" s="13" t="s">
        <v>351</v>
      </c>
      <c r="I61" s="21" t="s">
        <v>15</v>
      </c>
      <c r="J61" s="22" t="s">
        <v>59</v>
      </c>
      <c r="K61" s="14" t="s">
        <v>352</v>
      </c>
    </row>
    <row r="62" spans="1:11" ht="15" customHeight="1" x14ac:dyDescent="0.3">
      <c r="A62" s="17" t="s">
        <v>317</v>
      </c>
      <c r="B62" s="17" t="s">
        <v>158</v>
      </c>
      <c r="C62" s="18" t="s">
        <v>353</v>
      </c>
      <c r="D62" s="17" t="s">
        <v>348</v>
      </c>
      <c r="E62" s="17" t="s">
        <v>79</v>
      </c>
      <c r="F62" s="17" t="s">
        <v>354</v>
      </c>
      <c r="G62" s="17"/>
      <c r="H62" s="17" t="s">
        <v>355</v>
      </c>
      <c r="I62" s="23" t="s">
        <v>17</v>
      </c>
      <c r="J62" s="19" t="s">
        <v>59</v>
      </c>
      <c r="K62" s="18"/>
    </row>
    <row r="63" spans="1:11" ht="15" customHeight="1" x14ac:dyDescent="0.3">
      <c r="A63" s="13" t="s">
        <v>317</v>
      </c>
      <c r="B63" s="13" t="s">
        <v>223</v>
      </c>
      <c r="C63" s="14" t="s">
        <v>356</v>
      </c>
      <c r="D63" s="13" t="s">
        <v>334</v>
      </c>
      <c r="E63" s="13" t="s">
        <v>335</v>
      </c>
      <c r="F63" s="13" t="s">
        <v>357</v>
      </c>
      <c r="G63" s="13" t="s">
        <v>358</v>
      </c>
      <c r="H63" s="13" t="s">
        <v>359</v>
      </c>
      <c r="I63" s="21" t="s">
        <v>15</v>
      </c>
      <c r="J63" s="22" t="s">
        <v>59</v>
      </c>
      <c r="K63" s="14" t="s">
        <v>360</v>
      </c>
    </row>
    <row r="64" spans="1:11" ht="15" customHeight="1" x14ac:dyDescent="0.3">
      <c r="A64" s="17" t="s">
        <v>317</v>
      </c>
      <c r="B64" s="17" t="s">
        <v>45</v>
      </c>
      <c r="C64" s="18" t="s">
        <v>361</v>
      </c>
      <c r="D64" s="17" t="s">
        <v>362</v>
      </c>
      <c r="E64" s="17" t="s">
        <v>79</v>
      </c>
      <c r="F64" s="17" t="s">
        <v>363</v>
      </c>
      <c r="G64" s="17" t="s">
        <v>364</v>
      </c>
      <c r="H64" s="17" t="s">
        <v>365</v>
      </c>
      <c r="I64" s="21" t="s">
        <v>15</v>
      </c>
      <c r="J64" s="19" t="s">
        <v>59</v>
      </c>
      <c r="K64" s="18"/>
    </row>
    <row r="65" spans="1:11" ht="15" customHeight="1" x14ac:dyDescent="0.3">
      <c r="A65" s="13" t="s">
        <v>317</v>
      </c>
      <c r="B65" s="13" t="s">
        <v>158</v>
      </c>
      <c r="C65" s="14" t="s">
        <v>366</v>
      </c>
      <c r="D65" s="13" t="s">
        <v>367</v>
      </c>
      <c r="E65" s="13" t="s">
        <v>79</v>
      </c>
      <c r="F65" s="13" t="s">
        <v>368</v>
      </c>
      <c r="G65" s="13"/>
      <c r="H65" s="13" t="s">
        <v>369</v>
      </c>
      <c r="I65" s="23" t="s">
        <v>17</v>
      </c>
      <c r="J65" s="22" t="s">
        <v>59</v>
      </c>
      <c r="K65" s="14" t="s">
        <v>370</v>
      </c>
    </row>
    <row r="66" spans="1:11" ht="23.25" customHeight="1" x14ac:dyDescent="0.3">
      <c r="A66" s="17" t="s">
        <v>371</v>
      </c>
      <c r="B66" s="17" t="s">
        <v>268</v>
      </c>
      <c r="C66" s="18" t="s">
        <v>372</v>
      </c>
      <c r="D66" s="17" t="s">
        <v>373</v>
      </c>
      <c r="E66" s="17" t="s">
        <v>374</v>
      </c>
      <c r="F66" s="17" t="s">
        <v>375</v>
      </c>
      <c r="G66" s="17"/>
      <c r="H66" s="17" t="s">
        <v>376</v>
      </c>
      <c r="I66" s="15" t="s">
        <v>13</v>
      </c>
      <c r="J66" s="19" t="s">
        <v>59</v>
      </c>
      <c r="K66" s="18" t="s">
        <v>377</v>
      </c>
    </row>
    <row r="67" spans="1:11" ht="15" customHeight="1" x14ac:dyDescent="0.3">
      <c r="A67" s="13" t="s">
        <v>371</v>
      </c>
      <c r="B67" s="13" t="s">
        <v>268</v>
      </c>
      <c r="C67" s="14" t="s">
        <v>378</v>
      </c>
      <c r="D67" s="13" t="s">
        <v>379</v>
      </c>
      <c r="E67" s="13" t="s">
        <v>380</v>
      </c>
      <c r="F67" s="13" t="s">
        <v>381</v>
      </c>
      <c r="G67" s="13"/>
      <c r="H67" s="13" t="s">
        <v>382</v>
      </c>
      <c r="I67" s="21" t="s">
        <v>15</v>
      </c>
      <c r="J67" s="22" t="s">
        <v>59</v>
      </c>
      <c r="K67" s="14" t="s">
        <v>383</v>
      </c>
    </row>
    <row r="68" spans="1:11" ht="15" customHeight="1" x14ac:dyDescent="0.3">
      <c r="A68" s="17" t="s">
        <v>371</v>
      </c>
      <c r="B68" s="17" t="s">
        <v>268</v>
      </c>
      <c r="C68" s="18" t="s">
        <v>384</v>
      </c>
      <c r="D68" s="17" t="s">
        <v>385</v>
      </c>
      <c r="E68" s="17" t="s">
        <v>380</v>
      </c>
      <c r="F68" s="17" t="s">
        <v>386</v>
      </c>
      <c r="G68" s="17"/>
      <c r="H68" s="17" t="s">
        <v>387</v>
      </c>
      <c r="I68" s="21" t="s">
        <v>15</v>
      </c>
      <c r="J68" s="19" t="s">
        <v>59</v>
      </c>
      <c r="K68" s="18"/>
    </row>
    <row r="69" spans="1:11" ht="15" customHeight="1" x14ac:dyDescent="0.3">
      <c r="A69" s="13" t="s">
        <v>371</v>
      </c>
      <c r="B69" s="13" t="s">
        <v>268</v>
      </c>
      <c r="C69" s="14" t="s">
        <v>388</v>
      </c>
      <c r="D69" s="13" t="s">
        <v>389</v>
      </c>
      <c r="E69" s="13" t="s">
        <v>390</v>
      </c>
      <c r="F69" s="13" t="s">
        <v>391</v>
      </c>
      <c r="G69" s="13"/>
      <c r="H69" s="13" t="s">
        <v>392</v>
      </c>
      <c r="I69" s="21" t="s">
        <v>15</v>
      </c>
      <c r="J69" s="22" t="s">
        <v>59</v>
      </c>
      <c r="K69" s="14" t="s">
        <v>393</v>
      </c>
    </row>
    <row r="70" spans="1:11" ht="15" customHeight="1" x14ac:dyDescent="0.3">
      <c r="A70" s="17" t="s">
        <v>371</v>
      </c>
      <c r="B70" s="17" t="s">
        <v>105</v>
      </c>
      <c r="C70" s="18" t="s">
        <v>394</v>
      </c>
      <c r="D70" s="17" t="s">
        <v>395</v>
      </c>
      <c r="E70" s="17" t="s">
        <v>396</v>
      </c>
      <c r="F70" s="17" t="s">
        <v>397</v>
      </c>
      <c r="G70" s="17"/>
      <c r="H70" s="17" t="s">
        <v>398</v>
      </c>
      <c r="I70" s="21" t="s">
        <v>15</v>
      </c>
      <c r="J70" s="19" t="s">
        <v>59</v>
      </c>
      <c r="K70" s="18" t="s">
        <v>399</v>
      </c>
    </row>
    <row r="71" spans="1:11" ht="15" customHeight="1" x14ac:dyDescent="0.3">
      <c r="A71" s="13" t="s">
        <v>371</v>
      </c>
      <c r="B71" s="13" t="s">
        <v>105</v>
      </c>
      <c r="C71" s="14" t="s">
        <v>400</v>
      </c>
      <c r="D71" s="13" t="s">
        <v>395</v>
      </c>
      <c r="E71" s="13" t="s">
        <v>396</v>
      </c>
      <c r="F71" s="13" t="s">
        <v>401</v>
      </c>
      <c r="G71" s="13"/>
      <c r="H71" s="13" t="s">
        <v>402</v>
      </c>
      <c r="I71" s="21" t="s">
        <v>15</v>
      </c>
      <c r="J71" s="22" t="s">
        <v>59</v>
      </c>
      <c r="K71" s="14" t="s">
        <v>403</v>
      </c>
    </row>
    <row r="72" spans="1:11" ht="15" customHeight="1" x14ac:dyDescent="0.3">
      <c r="A72" s="17" t="s">
        <v>371</v>
      </c>
      <c r="B72" s="17" t="s">
        <v>268</v>
      </c>
      <c r="C72" s="18" t="s">
        <v>404</v>
      </c>
      <c r="D72" s="17" t="s">
        <v>405</v>
      </c>
      <c r="E72" s="17" t="s">
        <v>380</v>
      </c>
      <c r="F72" s="17" t="s">
        <v>406</v>
      </c>
      <c r="G72" s="17"/>
      <c r="H72" s="17" t="s">
        <v>407</v>
      </c>
      <c r="I72" s="15" t="s">
        <v>13</v>
      </c>
      <c r="J72" s="19" t="s">
        <v>59</v>
      </c>
      <c r="K72" s="18" t="s">
        <v>408</v>
      </c>
    </row>
    <row r="73" spans="1:11" ht="15" customHeight="1" x14ac:dyDescent="0.3">
      <c r="A73" s="13" t="s">
        <v>371</v>
      </c>
      <c r="B73" s="13" t="s">
        <v>268</v>
      </c>
      <c r="C73" s="14" t="s">
        <v>409</v>
      </c>
      <c r="D73" s="13" t="s">
        <v>410</v>
      </c>
      <c r="E73" s="13" t="s">
        <v>380</v>
      </c>
      <c r="F73" s="13" t="s">
        <v>411</v>
      </c>
      <c r="G73" s="13"/>
      <c r="H73" s="13" t="s">
        <v>409</v>
      </c>
      <c r="I73" s="23" t="s">
        <v>17</v>
      </c>
      <c r="J73" s="22" t="s">
        <v>59</v>
      </c>
      <c r="K73" s="14"/>
    </row>
    <row r="74" spans="1:11" ht="15" customHeight="1" x14ac:dyDescent="0.3">
      <c r="A74" s="17" t="s">
        <v>371</v>
      </c>
      <c r="B74" s="17" t="s">
        <v>268</v>
      </c>
      <c r="C74" s="18" t="s">
        <v>412</v>
      </c>
      <c r="D74" s="17" t="s">
        <v>413</v>
      </c>
      <c r="E74" s="17" t="s">
        <v>414</v>
      </c>
      <c r="F74" s="17" t="s">
        <v>415</v>
      </c>
      <c r="G74" s="17"/>
      <c r="H74" s="17" t="s">
        <v>416</v>
      </c>
      <c r="I74" s="21" t="s">
        <v>15</v>
      </c>
      <c r="J74" s="19" t="s">
        <v>59</v>
      </c>
      <c r="K74" s="18" t="s">
        <v>417</v>
      </c>
    </row>
    <row r="75" spans="1:11" ht="15" customHeight="1" x14ac:dyDescent="0.3">
      <c r="A75" s="13" t="s">
        <v>418</v>
      </c>
      <c r="B75" s="13" t="s">
        <v>268</v>
      </c>
      <c r="C75" s="14" t="s">
        <v>419</v>
      </c>
      <c r="D75" s="13" t="s">
        <v>420</v>
      </c>
      <c r="E75" s="13" t="s">
        <v>421</v>
      </c>
      <c r="F75" s="13" t="s">
        <v>422</v>
      </c>
      <c r="G75" s="13"/>
      <c r="H75" s="13" t="s">
        <v>423</v>
      </c>
      <c r="I75" s="15" t="s">
        <v>13</v>
      </c>
      <c r="J75" s="22" t="s">
        <v>59</v>
      </c>
      <c r="K75" s="14" t="s">
        <v>424</v>
      </c>
    </row>
    <row r="76" spans="1:11" ht="15" customHeight="1" x14ac:dyDescent="0.3">
      <c r="A76" s="17" t="s">
        <v>418</v>
      </c>
      <c r="B76" s="17" t="s">
        <v>268</v>
      </c>
      <c r="C76" s="18" t="s">
        <v>425</v>
      </c>
      <c r="D76" s="17" t="s">
        <v>426</v>
      </c>
      <c r="E76" s="17" t="s">
        <v>427</v>
      </c>
      <c r="F76" s="17" t="s">
        <v>428</v>
      </c>
      <c r="G76" s="17"/>
      <c r="H76" s="17" t="s">
        <v>429</v>
      </c>
      <c r="I76" s="15" t="s">
        <v>13</v>
      </c>
      <c r="J76" s="19" t="s">
        <v>59</v>
      </c>
      <c r="K76" s="18" t="s">
        <v>430</v>
      </c>
    </row>
    <row r="77" spans="1:11" ht="23.25" customHeight="1" x14ac:dyDescent="0.3">
      <c r="A77" s="13" t="s">
        <v>418</v>
      </c>
      <c r="B77" s="13" t="s">
        <v>268</v>
      </c>
      <c r="C77" s="14" t="s">
        <v>431</v>
      </c>
      <c r="D77" s="13" t="s">
        <v>432</v>
      </c>
      <c r="E77" s="13" t="s">
        <v>433</v>
      </c>
      <c r="F77" s="13" t="s">
        <v>434</v>
      </c>
      <c r="G77" s="13"/>
      <c r="H77" s="13" t="s">
        <v>435</v>
      </c>
      <c r="I77" s="15" t="s">
        <v>13</v>
      </c>
      <c r="J77" s="22" t="s">
        <v>59</v>
      </c>
      <c r="K77" s="14" t="s">
        <v>436</v>
      </c>
    </row>
    <row r="78" spans="1:11" ht="15" customHeight="1" x14ac:dyDescent="0.3">
      <c r="A78" s="17" t="s">
        <v>418</v>
      </c>
      <c r="B78" s="17" t="s">
        <v>268</v>
      </c>
      <c r="C78" s="18" t="s">
        <v>437</v>
      </c>
      <c r="D78" s="17" t="s">
        <v>276</v>
      </c>
      <c r="E78" s="17" t="s">
        <v>295</v>
      </c>
      <c r="F78" s="17" t="s">
        <v>278</v>
      </c>
      <c r="G78" s="17"/>
      <c r="H78" s="17" t="s">
        <v>279</v>
      </c>
      <c r="I78" s="21" t="s">
        <v>15</v>
      </c>
      <c r="J78" s="19" t="s">
        <v>59</v>
      </c>
      <c r="K78" s="18"/>
    </row>
    <row r="80" spans="1:11" ht="15" customHeight="1" x14ac:dyDescent="0.3">
      <c r="A80" s="24" t="s">
        <v>438</v>
      </c>
      <c r="C80" s="25">
        <f>COUNTA(C3:C78)</f>
        <v>76</v>
      </c>
      <c r="E80" s="24" t="s">
        <v>439</v>
      </c>
      <c r="F80" s="25">
        <f>COUNTIF(J3:J78,"Verified")</f>
        <v>34</v>
      </c>
      <c r="I80" s="24" t="s">
        <v>440</v>
      </c>
      <c r="J80" s="24">
        <f>COUNTIF(I3:I78,"High")</f>
        <v>30</v>
      </c>
    </row>
  </sheetData>
  <autoFilter ref="A2:K78" xr:uid="{00000000-0009-0000-0000-000001000000}"/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0"/>
  <sheetViews>
    <sheetView showGridLines="0" tabSelected="1" zoomScaleNormal="100" workbookViewId="0">
      <pane ySplit="2" topLeftCell="A3" activePane="bottomLeft" state="frozen"/>
      <selection pane="bottomLeft" sqref="A1:L1"/>
    </sheetView>
  </sheetViews>
  <sheetFormatPr baseColWidth="10" defaultColWidth="8.6640625" defaultRowHeight="14.4" x14ac:dyDescent="0.3"/>
  <cols>
    <col min="1" max="1" width="11.88671875" bestFit="1" customWidth="1"/>
    <col min="2" max="2" width="10.33203125" bestFit="1" customWidth="1"/>
    <col min="3" max="3" width="17.21875" bestFit="1" customWidth="1"/>
    <col min="4" max="4" width="34.21875" bestFit="1" customWidth="1"/>
    <col min="5" max="5" width="34" customWidth="1"/>
    <col min="6" max="6" width="11" customWidth="1"/>
    <col min="7" max="7" width="12" customWidth="1"/>
    <col min="8" max="9" width="14" customWidth="1"/>
    <col min="10" max="10" width="9" customWidth="1"/>
    <col min="11" max="11" width="28" customWidth="1"/>
    <col min="12" max="12" width="26" customWidth="1"/>
  </cols>
  <sheetData>
    <row r="1" spans="1:12" ht="25.5" customHeight="1" x14ac:dyDescent="0.3">
      <c r="A1" s="26" t="s">
        <v>441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7.75" customHeight="1" x14ac:dyDescent="0.3">
      <c r="A2" s="12" t="s">
        <v>41</v>
      </c>
      <c r="B2" s="12" t="s">
        <v>442</v>
      </c>
      <c r="C2" s="12" t="s">
        <v>33</v>
      </c>
      <c r="D2" s="12" t="s">
        <v>35</v>
      </c>
      <c r="E2" s="12" t="s">
        <v>443</v>
      </c>
      <c r="F2" s="12" t="s">
        <v>444</v>
      </c>
      <c r="G2" s="12" t="s">
        <v>445</v>
      </c>
      <c r="H2" s="12" t="s">
        <v>42</v>
      </c>
      <c r="I2" s="12" t="s">
        <v>446</v>
      </c>
      <c r="J2" s="12" t="s">
        <v>447</v>
      </c>
      <c r="K2" s="12" t="s">
        <v>448</v>
      </c>
      <c r="L2" s="12" t="s">
        <v>43</v>
      </c>
    </row>
    <row r="3" spans="1:12" ht="26.4" x14ac:dyDescent="0.3">
      <c r="A3" s="15" t="s">
        <v>13</v>
      </c>
      <c r="B3" s="13" t="s">
        <v>449</v>
      </c>
      <c r="C3" s="13" t="s">
        <v>44</v>
      </c>
      <c r="D3" s="14" t="s">
        <v>46</v>
      </c>
      <c r="E3" s="14" t="s">
        <v>49</v>
      </c>
      <c r="F3" s="13" t="s">
        <v>38</v>
      </c>
      <c r="G3" s="13" t="s">
        <v>450</v>
      </c>
      <c r="H3" s="13" t="s">
        <v>451</v>
      </c>
      <c r="I3" s="13" t="s">
        <v>452</v>
      </c>
      <c r="J3" s="13"/>
      <c r="K3" s="14" t="s">
        <v>453</v>
      </c>
      <c r="L3" s="14"/>
    </row>
    <row r="4" spans="1:12" ht="15" customHeight="1" x14ac:dyDescent="0.3">
      <c r="A4" s="15" t="s">
        <v>13</v>
      </c>
      <c r="B4" s="17" t="s">
        <v>449</v>
      </c>
      <c r="C4" s="17" t="s">
        <v>44</v>
      </c>
      <c r="D4" s="18" t="s">
        <v>54</v>
      </c>
      <c r="E4" s="18" t="s">
        <v>58</v>
      </c>
      <c r="F4" s="17" t="s">
        <v>454</v>
      </c>
      <c r="G4" s="17"/>
      <c r="H4" s="17" t="s">
        <v>455</v>
      </c>
      <c r="I4" s="17"/>
      <c r="J4" s="17"/>
      <c r="K4" s="18"/>
      <c r="L4" s="18"/>
    </row>
    <row r="5" spans="1:12" ht="26.4" x14ac:dyDescent="0.3">
      <c r="A5" s="15" t="s">
        <v>13</v>
      </c>
      <c r="B5" s="13" t="s">
        <v>449</v>
      </c>
      <c r="C5" s="13" t="s">
        <v>44</v>
      </c>
      <c r="D5" s="14" t="s">
        <v>61</v>
      </c>
      <c r="E5" s="14" t="s">
        <v>63</v>
      </c>
      <c r="F5" s="13" t="s">
        <v>38</v>
      </c>
      <c r="G5" s="13" t="s">
        <v>450</v>
      </c>
      <c r="H5" s="13" t="s">
        <v>451</v>
      </c>
      <c r="I5" s="13" t="s">
        <v>452</v>
      </c>
      <c r="J5" s="13"/>
      <c r="K5" s="14" t="s">
        <v>453</v>
      </c>
      <c r="L5" s="14"/>
    </row>
    <row r="6" spans="1:12" ht="15" customHeight="1" x14ac:dyDescent="0.3">
      <c r="A6" s="15" t="s">
        <v>13</v>
      </c>
      <c r="B6" s="17" t="s">
        <v>449</v>
      </c>
      <c r="C6" s="17" t="s">
        <v>44</v>
      </c>
      <c r="D6" s="18" t="s">
        <v>66</v>
      </c>
      <c r="E6" s="18" t="s">
        <v>69</v>
      </c>
      <c r="F6" s="17" t="s">
        <v>38</v>
      </c>
      <c r="G6" s="17"/>
      <c r="H6" s="17" t="s">
        <v>455</v>
      </c>
      <c r="I6" s="17"/>
      <c r="J6" s="17"/>
      <c r="K6" s="18"/>
      <c r="L6" s="18"/>
    </row>
    <row r="7" spans="1:12" ht="15" customHeight="1" x14ac:dyDescent="0.3">
      <c r="A7" s="15" t="s">
        <v>13</v>
      </c>
      <c r="B7" s="13" t="s">
        <v>449</v>
      </c>
      <c r="C7" s="13" t="s">
        <v>44</v>
      </c>
      <c r="D7" s="14" t="s">
        <v>72</v>
      </c>
      <c r="E7" s="14" t="s">
        <v>75</v>
      </c>
      <c r="F7" s="13" t="s">
        <v>38</v>
      </c>
      <c r="G7" s="13"/>
      <c r="H7" s="13" t="s">
        <v>455</v>
      </c>
      <c r="I7" s="13"/>
      <c r="J7" s="13"/>
      <c r="K7" s="14"/>
      <c r="L7" s="14"/>
    </row>
    <row r="8" spans="1:12" ht="15" customHeight="1" x14ac:dyDescent="0.3">
      <c r="A8" s="21" t="s">
        <v>15</v>
      </c>
      <c r="B8" s="17" t="s">
        <v>456</v>
      </c>
      <c r="C8" s="17" t="s">
        <v>44</v>
      </c>
      <c r="D8" s="18" t="s">
        <v>78</v>
      </c>
      <c r="E8" s="18" t="s">
        <v>80</v>
      </c>
      <c r="F8" s="17" t="s">
        <v>38</v>
      </c>
      <c r="G8" s="17"/>
      <c r="H8" s="17" t="s">
        <v>455</v>
      </c>
      <c r="I8" s="17"/>
      <c r="J8" s="17"/>
      <c r="K8" s="18"/>
      <c r="L8" s="18"/>
    </row>
    <row r="9" spans="1:12" ht="23.85" customHeight="1" x14ac:dyDescent="0.3">
      <c r="A9" s="21" t="s">
        <v>15</v>
      </c>
      <c r="B9" s="13" t="s">
        <v>456</v>
      </c>
      <c r="C9" s="13" t="s">
        <v>44</v>
      </c>
      <c r="D9" s="14" t="s">
        <v>84</v>
      </c>
      <c r="E9" s="14" t="s">
        <v>88</v>
      </c>
      <c r="F9" s="13" t="s">
        <v>454</v>
      </c>
      <c r="G9" s="13"/>
      <c r="H9" s="13" t="s">
        <v>455</v>
      </c>
      <c r="I9" s="13"/>
      <c r="J9" s="13"/>
      <c r="K9" s="14"/>
      <c r="L9" s="14"/>
    </row>
    <row r="10" spans="1:12" ht="15" customHeight="1" x14ac:dyDescent="0.3">
      <c r="A10" s="21" t="s">
        <v>15</v>
      </c>
      <c r="B10" s="17" t="s">
        <v>456</v>
      </c>
      <c r="C10" s="17" t="s">
        <v>44</v>
      </c>
      <c r="D10" s="18" t="s">
        <v>90</v>
      </c>
      <c r="E10" s="18" t="s">
        <v>92</v>
      </c>
      <c r="F10" s="17" t="s">
        <v>38</v>
      </c>
      <c r="G10" s="17"/>
      <c r="H10" s="17" t="s">
        <v>455</v>
      </c>
      <c r="I10" s="17"/>
      <c r="J10" s="17"/>
      <c r="K10" s="18"/>
      <c r="L10" s="18"/>
    </row>
    <row r="11" spans="1:12" ht="15" customHeight="1" x14ac:dyDescent="0.3">
      <c r="A11" s="15" t="s">
        <v>13</v>
      </c>
      <c r="B11" s="13" t="s">
        <v>449</v>
      </c>
      <c r="C11" s="13" t="s">
        <v>44</v>
      </c>
      <c r="D11" s="14" t="s">
        <v>95</v>
      </c>
      <c r="E11" s="14" t="s">
        <v>99</v>
      </c>
      <c r="F11" s="13" t="s">
        <v>454</v>
      </c>
      <c r="G11" s="13"/>
      <c r="H11" s="13" t="s">
        <v>455</v>
      </c>
      <c r="I11" s="13"/>
      <c r="J11" s="13"/>
      <c r="K11" s="14"/>
      <c r="L11" s="14"/>
    </row>
    <row r="12" spans="1:12" ht="15" customHeight="1" x14ac:dyDescent="0.3">
      <c r="A12" s="21" t="s">
        <v>15</v>
      </c>
      <c r="B12" s="17" t="s">
        <v>456</v>
      </c>
      <c r="C12" s="17" t="s">
        <v>44</v>
      </c>
      <c r="D12" s="18" t="s">
        <v>101</v>
      </c>
      <c r="E12" s="18" t="s">
        <v>104</v>
      </c>
      <c r="F12" s="17" t="s">
        <v>454</v>
      </c>
      <c r="G12" s="17"/>
      <c r="H12" s="17" t="s">
        <v>455</v>
      </c>
      <c r="I12" s="17"/>
      <c r="J12" s="17"/>
      <c r="K12" s="18"/>
      <c r="L12" s="18"/>
    </row>
    <row r="13" spans="1:12" ht="26.4" x14ac:dyDescent="0.3">
      <c r="A13" s="15" t="s">
        <v>13</v>
      </c>
      <c r="B13" s="13" t="s">
        <v>449</v>
      </c>
      <c r="C13" s="13" t="s">
        <v>44</v>
      </c>
      <c r="D13" s="14" t="s">
        <v>106</v>
      </c>
      <c r="E13" s="14" t="s">
        <v>108</v>
      </c>
      <c r="F13" s="13" t="s">
        <v>38</v>
      </c>
      <c r="G13" s="13" t="s">
        <v>450</v>
      </c>
      <c r="H13" s="13" t="s">
        <v>451</v>
      </c>
      <c r="I13" s="13" t="s">
        <v>452</v>
      </c>
      <c r="J13" s="13"/>
      <c r="K13" s="14" t="s">
        <v>453</v>
      </c>
      <c r="L13" s="14"/>
    </row>
    <row r="14" spans="1:12" ht="23.85" customHeight="1" x14ac:dyDescent="0.3">
      <c r="A14" s="15" t="s">
        <v>13</v>
      </c>
      <c r="B14" s="17" t="s">
        <v>449</v>
      </c>
      <c r="C14" s="17" t="s">
        <v>44</v>
      </c>
      <c r="D14" s="18" t="s">
        <v>111</v>
      </c>
      <c r="E14" s="18" t="s">
        <v>113</v>
      </c>
      <c r="F14" s="17" t="s">
        <v>38</v>
      </c>
      <c r="G14" s="17"/>
      <c r="H14" s="17" t="s">
        <v>455</v>
      </c>
      <c r="I14" s="17"/>
      <c r="J14" s="17"/>
      <c r="K14" s="18"/>
      <c r="L14" s="18"/>
    </row>
    <row r="15" spans="1:12" ht="26.4" x14ac:dyDescent="0.3">
      <c r="A15" s="15" t="s">
        <v>13</v>
      </c>
      <c r="B15" s="13" t="s">
        <v>449</v>
      </c>
      <c r="C15" s="13" t="s">
        <v>44</v>
      </c>
      <c r="D15" s="14" t="s">
        <v>116</v>
      </c>
      <c r="E15" s="14" t="s">
        <v>117</v>
      </c>
      <c r="F15" s="13" t="s">
        <v>38</v>
      </c>
      <c r="G15" s="13" t="s">
        <v>450</v>
      </c>
      <c r="H15" s="13" t="s">
        <v>451</v>
      </c>
      <c r="I15" s="13" t="s">
        <v>452</v>
      </c>
      <c r="J15" s="13"/>
      <c r="K15" s="14" t="s">
        <v>453</v>
      </c>
      <c r="L15" s="14"/>
    </row>
    <row r="16" spans="1:12" ht="15" customHeight="1" x14ac:dyDescent="0.3">
      <c r="A16" s="21" t="s">
        <v>15</v>
      </c>
      <c r="B16" s="17" t="s">
        <v>456</v>
      </c>
      <c r="C16" s="17" t="s">
        <v>44</v>
      </c>
      <c r="D16" s="18" t="s">
        <v>120</v>
      </c>
      <c r="E16" s="18" t="s">
        <v>122</v>
      </c>
      <c r="F16" s="17" t="s">
        <v>38</v>
      </c>
      <c r="G16" s="17"/>
      <c r="H16" s="17" t="s">
        <v>455</v>
      </c>
      <c r="I16" s="17"/>
      <c r="J16" s="17"/>
      <c r="K16" s="18"/>
      <c r="L16" s="18"/>
    </row>
    <row r="17" spans="1:12" ht="15" customHeight="1" x14ac:dyDescent="0.3">
      <c r="A17" s="21" t="s">
        <v>15</v>
      </c>
      <c r="B17" s="13" t="s">
        <v>456</v>
      </c>
      <c r="C17" s="13" t="s">
        <v>44</v>
      </c>
      <c r="D17" s="14" t="s">
        <v>126</v>
      </c>
      <c r="E17" s="14" t="s">
        <v>127</v>
      </c>
      <c r="F17" s="13" t="s">
        <v>38</v>
      </c>
      <c r="G17" s="13"/>
      <c r="H17" s="13" t="s">
        <v>455</v>
      </c>
      <c r="I17" s="13"/>
      <c r="J17" s="13"/>
      <c r="K17" s="14"/>
      <c r="L17" s="14"/>
    </row>
    <row r="18" spans="1:12" ht="23.85" customHeight="1" x14ac:dyDescent="0.3">
      <c r="A18" s="21" t="s">
        <v>15</v>
      </c>
      <c r="B18" s="17" t="s">
        <v>456</v>
      </c>
      <c r="C18" s="17" t="s">
        <v>44</v>
      </c>
      <c r="D18" s="18" t="s">
        <v>130</v>
      </c>
      <c r="E18" s="18" t="s">
        <v>131</v>
      </c>
      <c r="F18" s="17" t="s">
        <v>38</v>
      </c>
      <c r="G18" s="17"/>
      <c r="H18" s="17" t="s">
        <v>455</v>
      </c>
      <c r="I18" s="17"/>
      <c r="J18" s="17"/>
      <c r="K18" s="18"/>
      <c r="L18" s="18"/>
    </row>
    <row r="19" spans="1:12" ht="15" customHeight="1" x14ac:dyDescent="0.3">
      <c r="A19" s="23" t="s">
        <v>17</v>
      </c>
      <c r="B19" s="13" t="s">
        <v>457</v>
      </c>
      <c r="C19" s="13" t="s">
        <v>44</v>
      </c>
      <c r="D19" s="14" t="s">
        <v>134</v>
      </c>
      <c r="E19" s="14" t="s">
        <v>137</v>
      </c>
      <c r="F19" s="13" t="s">
        <v>38</v>
      </c>
      <c r="G19" s="13"/>
      <c r="H19" s="13" t="s">
        <v>455</v>
      </c>
      <c r="I19" s="13"/>
      <c r="J19" s="13"/>
      <c r="K19" s="14"/>
      <c r="L19" s="14"/>
    </row>
    <row r="20" spans="1:12" ht="15" customHeight="1" x14ac:dyDescent="0.3">
      <c r="A20" s="23" t="s">
        <v>17</v>
      </c>
      <c r="B20" s="17" t="s">
        <v>457</v>
      </c>
      <c r="C20" s="17" t="s">
        <v>44</v>
      </c>
      <c r="D20" s="18" t="s">
        <v>141</v>
      </c>
      <c r="E20" s="18" t="s">
        <v>142</v>
      </c>
      <c r="F20" s="17" t="s">
        <v>38</v>
      </c>
      <c r="G20" s="17"/>
      <c r="H20" s="17" t="s">
        <v>455</v>
      </c>
      <c r="I20" s="17"/>
      <c r="J20" s="17"/>
      <c r="K20" s="18"/>
      <c r="L20" s="18"/>
    </row>
    <row r="21" spans="1:12" ht="15" customHeight="1" x14ac:dyDescent="0.3">
      <c r="A21" s="23" t="s">
        <v>17</v>
      </c>
      <c r="B21" s="13" t="s">
        <v>457</v>
      </c>
      <c r="C21" s="13" t="s">
        <v>44</v>
      </c>
      <c r="D21" s="14" t="s">
        <v>145</v>
      </c>
      <c r="E21" s="14" t="s">
        <v>146</v>
      </c>
      <c r="F21" s="13" t="s">
        <v>38</v>
      </c>
      <c r="G21" s="13"/>
      <c r="H21" s="13" t="s">
        <v>455</v>
      </c>
      <c r="I21" s="13"/>
      <c r="J21" s="13"/>
      <c r="K21" s="14"/>
      <c r="L21" s="14"/>
    </row>
    <row r="22" spans="1:12" ht="15" customHeight="1" x14ac:dyDescent="0.3">
      <c r="A22" s="21" t="s">
        <v>15</v>
      </c>
      <c r="B22" s="17" t="s">
        <v>456</v>
      </c>
      <c r="C22" s="17" t="s">
        <v>44</v>
      </c>
      <c r="D22" s="18" t="s">
        <v>149</v>
      </c>
      <c r="E22" s="18" t="s">
        <v>152</v>
      </c>
      <c r="F22" s="17" t="s">
        <v>454</v>
      </c>
      <c r="G22" s="17"/>
      <c r="H22" s="17" t="s">
        <v>455</v>
      </c>
      <c r="I22" s="17"/>
      <c r="J22" s="17"/>
      <c r="K22" s="18"/>
      <c r="L22" s="18"/>
    </row>
    <row r="23" spans="1:12" ht="15" customHeight="1" x14ac:dyDescent="0.3">
      <c r="A23" s="23" t="s">
        <v>17</v>
      </c>
      <c r="B23" s="13" t="s">
        <v>457</v>
      </c>
      <c r="C23" s="13" t="s">
        <v>44</v>
      </c>
      <c r="D23" s="14" t="s">
        <v>154</v>
      </c>
      <c r="E23" s="14" t="s">
        <v>157</v>
      </c>
      <c r="F23" s="13" t="s">
        <v>454</v>
      </c>
      <c r="G23" s="13"/>
      <c r="H23" s="13" t="s">
        <v>455</v>
      </c>
      <c r="I23" s="13"/>
      <c r="J23" s="13"/>
      <c r="K23" s="14"/>
      <c r="L23" s="14"/>
    </row>
    <row r="24" spans="1:12" ht="26.4" x14ac:dyDescent="0.3">
      <c r="A24" s="15" t="s">
        <v>13</v>
      </c>
      <c r="B24" s="17" t="s">
        <v>449</v>
      </c>
      <c r="C24" s="17" t="s">
        <v>44</v>
      </c>
      <c r="D24" s="18" t="s">
        <v>159</v>
      </c>
      <c r="E24" s="18" t="s">
        <v>160</v>
      </c>
      <c r="F24" s="17" t="s">
        <v>38</v>
      </c>
      <c r="G24" s="17" t="s">
        <v>450</v>
      </c>
      <c r="H24" s="17" t="s">
        <v>451</v>
      </c>
      <c r="I24" s="17" t="s">
        <v>452</v>
      </c>
      <c r="J24" s="17"/>
      <c r="K24" s="18" t="s">
        <v>453</v>
      </c>
      <c r="L24" s="18"/>
    </row>
    <row r="25" spans="1:12" ht="23.85" customHeight="1" x14ac:dyDescent="0.3">
      <c r="A25" s="15" t="s">
        <v>13</v>
      </c>
      <c r="B25" s="13" t="s">
        <v>449</v>
      </c>
      <c r="C25" s="13" t="s">
        <v>44</v>
      </c>
      <c r="D25" s="14" t="s">
        <v>163</v>
      </c>
      <c r="E25" s="14" t="s">
        <v>164</v>
      </c>
      <c r="F25" s="13" t="s">
        <v>38</v>
      </c>
      <c r="G25" s="13"/>
      <c r="H25" s="13" t="s">
        <v>455</v>
      </c>
      <c r="I25" s="13"/>
      <c r="J25" s="13"/>
      <c r="K25" s="14"/>
      <c r="L25" s="14"/>
    </row>
    <row r="26" spans="1:12" ht="15" customHeight="1" x14ac:dyDescent="0.3">
      <c r="A26" s="15" t="s">
        <v>13</v>
      </c>
      <c r="B26" s="17" t="s">
        <v>449</v>
      </c>
      <c r="C26" s="17" t="s">
        <v>44</v>
      </c>
      <c r="D26" s="18" t="s">
        <v>168</v>
      </c>
      <c r="E26" s="18" t="s">
        <v>170</v>
      </c>
      <c r="F26" s="17" t="s">
        <v>38</v>
      </c>
      <c r="G26" s="17"/>
      <c r="H26" s="17" t="s">
        <v>455</v>
      </c>
      <c r="I26" s="17"/>
      <c r="J26" s="17"/>
      <c r="K26" s="18"/>
      <c r="L26" s="18"/>
    </row>
    <row r="27" spans="1:12" ht="15" customHeight="1" x14ac:dyDescent="0.3">
      <c r="A27" s="21" t="s">
        <v>15</v>
      </c>
      <c r="B27" s="13" t="s">
        <v>456</v>
      </c>
      <c r="C27" s="13" t="s">
        <v>44</v>
      </c>
      <c r="D27" s="14" t="s">
        <v>173</v>
      </c>
      <c r="E27" s="14" t="s">
        <v>175</v>
      </c>
      <c r="F27" s="13" t="s">
        <v>38</v>
      </c>
      <c r="G27" s="13"/>
      <c r="H27" s="13" t="s">
        <v>455</v>
      </c>
      <c r="I27" s="13"/>
      <c r="J27" s="13"/>
      <c r="K27" s="14"/>
      <c r="L27" s="14"/>
    </row>
    <row r="28" spans="1:12" ht="15" customHeight="1" x14ac:dyDescent="0.3">
      <c r="A28" s="21" t="s">
        <v>15</v>
      </c>
      <c r="B28" s="17" t="s">
        <v>456</v>
      </c>
      <c r="C28" s="17" t="s">
        <v>44</v>
      </c>
      <c r="D28" s="18" t="s">
        <v>179</v>
      </c>
      <c r="E28" s="18" t="s">
        <v>180</v>
      </c>
      <c r="F28" s="17" t="s">
        <v>38</v>
      </c>
      <c r="G28" s="17"/>
      <c r="H28" s="17" t="s">
        <v>455</v>
      </c>
      <c r="I28" s="17"/>
      <c r="J28" s="17"/>
      <c r="K28" s="18"/>
      <c r="L28" s="18"/>
    </row>
    <row r="29" spans="1:12" ht="15" customHeight="1" x14ac:dyDescent="0.3">
      <c r="A29" s="23" t="s">
        <v>17</v>
      </c>
      <c r="B29" s="13" t="s">
        <v>457</v>
      </c>
      <c r="C29" s="13" t="s">
        <v>44</v>
      </c>
      <c r="D29" s="14" t="s">
        <v>183</v>
      </c>
      <c r="E29" s="14" t="s">
        <v>184</v>
      </c>
      <c r="F29" s="13" t="s">
        <v>38</v>
      </c>
      <c r="G29" s="13"/>
      <c r="H29" s="13" t="s">
        <v>455</v>
      </c>
      <c r="I29" s="13"/>
      <c r="J29" s="13"/>
      <c r="K29" s="14"/>
      <c r="L29" s="14"/>
    </row>
    <row r="30" spans="1:12" ht="15" customHeight="1" x14ac:dyDescent="0.3">
      <c r="A30" s="23" t="s">
        <v>17</v>
      </c>
      <c r="B30" s="17" t="s">
        <v>457</v>
      </c>
      <c r="C30" s="17" t="s">
        <v>44</v>
      </c>
      <c r="D30" s="18" t="s">
        <v>187</v>
      </c>
      <c r="E30" s="18" t="s">
        <v>188</v>
      </c>
      <c r="F30" s="17" t="s">
        <v>38</v>
      </c>
      <c r="G30" s="17"/>
      <c r="H30" s="17" t="s">
        <v>455</v>
      </c>
      <c r="I30" s="17"/>
      <c r="J30" s="17"/>
      <c r="K30" s="18"/>
      <c r="L30" s="18"/>
    </row>
    <row r="31" spans="1:12" ht="15" customHeight="1" x14ac:dyDescent="0.3">
      <c r="A31" s="23" t="s">
        <v>17</v>
      </c>
      <c r="B31" s="13" t="s">
        <v>457</v>
      </c>
      <c r="C31" s="13" t="s">
        <v>44</v>
      </c>
      <c r="D31" s="14" t="s">
        <v>191</v>
      </c>
      <c r="E31" s="14" t="s">
        <v>194</v>
      </c>
      <c r="F31" s="13" t="s">
        <v>454</v>
      </c>
      <c r="G31" s="13"/>
      <c r="H31" s="13" t="s">
        <v>455</v>
      </c>
      <c r="I31" s="13"/>
      <c r="J31" s="13"/>
      <c r="K31" s="14"/>
      <c r="L31" s="14"/>
    </row>
    <row r="32" spans="1:12" ht="26.4" x14ac:dyDescent="0.3">
      <c r="A32" s="15" t="s">
        <v>13</v>
      </c>
      <c r="B32" s="17" t="s">
        <v>449</v>
      </c>
      <c r="C32" s="17" t="s">
        <v>44</v>
      </c>
      <c r="D32" s="18" t="s">
        <v>196</v>
      </c>
      <c r="E32" s="18" t="s">
        <v>197</v>
      </c>
      <c r="F32" s="17" t="s">
        <v>38</v>
      </c>
      <c r="G32" s="17" t="s">
        <v>450</v>
      </c>
      <c r="H32" s="17" t="s">
        <v>451</v>
      </c>
      <c r="I32" s="17" t="s">
        <v>452</v>
      </c>
      <c r="J32" s="17"/>
      <c r="K32" s="18" t="s">
        <v>453</v>
      </c>
      <c r="L32" s="18"/>
    </row>
    <row r="33" spans="1:12" ht="26.4" x14ac:dyDescent="0.3">
      <c r="A33" s="15" t="s">
        <v>13</v>
      </c>
      <c r="B33" s="13" t="s">
        <v>449</v>
      </c>
      <c r="C33" s="13" t="s">
        <v>44</v>
      </c>
      <c r="D33" s="14" t="s">
        <v>200</v>
      </c>
      <c r="E33" s="14" t="s">
        <v>202</v>
      </c>
      <c r="F33" s="13" t="s">
        <v>38</v>
      </c>
      <c r="G33" s="13" t="s">
        <v>450</v>
      </c>
      <c r="H33" s="13" t="s">
        <v>451</v>
      </c>
      <c r="I33" s="13" t="s">
        <v>452</v>
      </c>
      <c r="J33" s="13"/>
      <c r="K33" s="14" t="s">
        <v>453</v>
      </c>
      <c r="L33" s="14"/>
    </row>
    <row r="34" spans="1:12" ht="23.85" customHeight="1" x14ac:dyDescent="0.3">
      <c r="A34" s="21" t="s">
        <v>15</v>
      </c>
      <c r="B34" s="17" t="s">
        <v>456</v>
      </c>
      <c r="C34" s="17" t="s">
        <v>44</v>
      </c>
      <c r="D34" s="18" t="s">
        <v>206</v>
      </c>
      <c r="E34" s="18" t="s">
        <v>207</v>
      </c>
      <c r="F34" s="17" t="s">
        <v>38</v>
      </c>
      <c r="G34" s="17"/>
      <c r="H34" s="17" t="s">
        <v>455</v>
      </c>
      <c r="I34" s="17"/>
      <c r="J34" s="17"/>
      <c r="K34" s="18"/>
      <c r="L34" s="18"/>
    </row>
    <row r="35" spans="1:12" ht="15" customHeight="1" x14ac:dyDescent="0.3">
      <c r="A35" s="21" t="s">
        <v>15</v>
      </c>
      <c r="B35" s="13" t="s">
        <v>456</v>
      </c>
      <c r="C35" s="13" t="s">
        <v>44</v>
      </c>
      <c r="D35" s="14" t="s">
        <v>210</v>
      </c>
      <c r="E35" s="14" t="s">
        <v>211</v>
      </c>
      <c r="F35" s="13" t="s">
        <v>38</v>
      </c>
      <c r="G35" s="13"/>
      <c r="H35" s="13" t="s">
        <v>455</v>
      </c>
      <c r="I35" s="13"/>
      <c r="J35" s="13"/>
      <c r="K35" s="14"/>
      <c r="L35" s="14"/>
    </row>
    <row r="36" spans="1:12" ht="15" customHeight="1" x14ac:dyDescent="0.3">
      <c r="A36" s="23" t="s">
        <v>17</v>
      </c>
      <c r="B36" s="17" t="s">
        <v>457</v>
      </c>
      <c r="C36" s="17" t="s">
        <v>44</v>
      </c>
      <c r="D36" s="18" t="s">
        <v>214</v>
      </c>
      <c r="E36" s="18" t="s">
        <v>215</v>
      </c>
      <c r="F36" s="17" t="s">
        <v>38</v>
      </c>
      <c r="G36" s="17"/>
      <c r="H36" s="17" t="s">
        <v>455</v>
      </c>
      <c r="I36" s="17"/>
      <c r="J36" s="17"/>
      <c r="K36" s="18"/>
      <c r="L36" s="18"/>
    </row>
    <row r="37" spans="1:12" ht="15" customHeight="1" x14ac:dyDescent="0.3">
      <c r="A37" s="23" t="s">
        <v>17</v>
      </c>
      <c r="B37" s="13" t="s">
        <v>457</v>
      </c>
      <c r="C37" s="13" t="s">
        <v>44</v>
      </c>
      <c r="D37" s="14" t="s">
        <v>219</v>
      </c>
      <c r="E37" s="14" t="s">
        <v>222</v>
      </c>
      <c r="F37" s="13" t="s">
        <v>454</v>
      </c>
      <c r="G37" s="13"/>
      <c r="H37" s="13" t="s">
        <v>455</v>
      </c>
      <c r="I37" s="13"/>
      <c r="J37" s="13"/>
      <c r="K37" s="14"/>
      <c r="L37" s="14"/>
    </row>
    <row r="38" spans="1:12" ht="15" customHeight="1" x14ac:dyDescent="0.3">
      <c r="A38" s="15" t="s">
        <v>13</v>
      </c>
      <c r="B38" s="17" t="s">
        <v>449</v>
      </c>
      <c r="C38" s="17" t="s">
        <v>44</v>
      </c>
      <c r="D38" s="18" t="s">
        <v>224</v>
      </c>
      <c r="E38" s="18" t="s">
        <v>226</v>
      </c>
      <c r="F38" s="17" t="s">
        <v>38</v>
      </c>
      <c r="G38" s="17"/>
      <c r="H38" s="17" t="s">
        <v>455</v>
      </c>
      <c r="I38" s="17"/>
      <c r="J38" s="17"/>
      <c r="K38" s="18"/>
      <c r="L38" s="18"/>
    </row>
    <row r="39" spans="1:12" ht="23.85" customHeight="1" x14ac:dyDescent="0.3">
      <c r="A39" s="15" t="s">
        <v>13</v>
      </c>
      <c r="B39" s="13" t="s">
        <v>449</v>
      </c>
      <c r="C39" s="13" t="s">
        <v>44</v>
      </c>
      <c r="D39" s="14" t="s">
        <v>230</v>
      </c>
      <c r="E39" s="14" t="s">
        <v>231</v>
      </c>
      <c r="F39" s="13" t="s">
        <v>38</v>
      </c>
      <c r="G39" s="13"/>
      <c r="H39" s="13" t="s">
        <v>455</v>
      </c>
      <c r="I39" s="13"/>
      <c r="J39" s="13"/>
      <c r="K39" s="14"/>
      <c r="L39" s="14"/>
    </row>
    <row r="40" spans="1:12" ht="15" customHeight="1" x14ac:dyDescent="0.3">
      <c r="A40" s="21" t="s">
        <v>15</v>
      </c>
      <c r="B40" s="17" t="s">
        <v>456</v>
      </c>
      <c r="C40" s="17" t="s">
        <v>44</v>
      </c>
      <c r="D40" s="18" t="s">
        <v>234</v>
      </c>
      <c r="E40" s="18" t="s">
        <v>237</v>
      </c>
      <c r="F40" s="17" t="s">
        <v>454</v>
      </c>
      <c r="G40" s="17"/>
      <c r="H40" s="17" t="s">
        <v>455</v>
      </c>
      <c r="I40" s="17"/>
      <c r="J40" s="17"/>
      <c r="K40" s="18"/>
      <c r="L40" s="18"/>
    </row>
    <row r="41" spans="1:12" ht="15" customHeight="1" x14ac:dyDescent="0.3">
      <c r="A41" s="21" t="s">
        <v>15</v>
      </c>
      <c r="B41" s="13" t="s">
        <v>456</v>
      </c>
      <c r="C41" s="13" t="s">
        <v>44</v>
      </c>
      <c r="D41" s="14" t="s">
        <v>238</v>
      </c>
      <c r="E41" s="14" t="s">
        <v>240</v>
      </c>
      <c r="F41" s="13" t="s">
        <v>38</v>
      </c>
      <c r="G41" s="13"/>
      <c r="H41" s="13" t="s">
        <v>455</v>
      </c>
      <c r="I41" s="13"/>
      <c r="J41" s="13"/>
      <c r="K41" s="14"/>
      <c r="L41" s="14"/>
    </row>
    <row r="42" spans="1:12" ht="15" customHeight="1" x14ac:dyDescent="0.3">
      <c r="A42" s="15" t="s">
        <v>13</v>
      </c>
      <c r="B42" s="17" t="s">
        <v>449</v>
      </c>
      <c r="C42" s="17" t="s">
        <v>44</v>
      </c>
      <c r="D42" s="18" t="s">
        <v>245</v>
      </c>
      <c r="E42" s="18" t="s">
        <v>246</v>
      </c>
      <c r="F42" s="17" t="s">
        <v>38</v>
      </c>
      <c r="G42" s="17"/>
      <c r="H42" s="17" t="s">
        <v>455</v>
      </c>
      <c r="I42" s="17"/>
      <c r="J42" s="17"/>
      <c r="K42" s="18"/>
      <c r="L42" s="18"/>
    </row>
    <row r="43" spans="1:12" ht="15" customHeight="1" x14ac:dyDescent="0.3">
      <c r="A43" s="15" t="s">
        <v>13</v>
      </c>
      <c r="B43" s="13" t="s">
        <v>449</v>
      </c>
      <c r="C43" s="13" t="s">
        <v>44</v>
      </c>
      <c r="D43" s="14" t="s">
        <v>249</v>
      </c>
      <c r="E43" s="14" t="s">
        <v>252</v>
      </c>
      <c r="F43" s="13" t="s">
        <v>454</v>
      </c>
      <c r="G43" s="13"/>
      <c r="H43" s="13" t="s">
        <v>455</v>
      </c>
      <c r="I43" s="13"/>
      <c r="J43" s="13"/>
      <c r="K43" s="14"/>
      <c r="L43" s="14"/>
    </row>
    <row r="44" spans="1:12" ht="15" customHeight="1" x14ac:dyDescent="0.3">
      <c r="A44" s="15" t="s">
        <v>13</v>
      </c>
      <c r="B44" s="17" t="s">
        <v>449</v>
      </c>
      <c r="C44" s="17" t="s">
        <v>44</v>
      </c>
      <c r="D44" s="18" t="s">
        <v>255</v>
      </c>
      <c r="E44" s="18" t="s">
        <v>257</v>
      </c>
      <c r="F44" s="17" t="s">
        <v>38</v>
      </c>
      <c r="G44" s="17"/>
      <c r="H44" s="17" t="s">
        <v>455</v>
      </c>
      <c r="I44" s="17"/>
      <c r="J44" s="17"/>
      <c r="K44" s="18"/>
      <c r="L44" s="18"/>
    </row>
    <row r="45" spans="1:12" ht="15" customHeight="1" x14ac:dyDescent="0.3">
      <c r="A45" s="21" t="s">
        <v>15</v>
      </c>
      <c r="B45" s="13" t="s">
        <v>456</v>
      </c>
      <c r="C45" s="13" t="s">
        <v>44</v>
      </c>
      <c r="D45" s="14" t="s">
        <v>260</v>
      </c>
      <c r="E45" s="14" t="s">
        <v>263</v>
      </c>
      <c r="F45" s="13" t="s">
        <v>454</v>
      </c>
      <c r="G45" s="13"/>
      <c r="H45" s="13" t="s">
        <v>455</v>
      </c>
      <c r="I45" s="13"/>
      <c r="J45" s="13"/>
      <c r="K45" s="14"/>
      <c r="L45" s="14"/>
    </row>
    <row r="46" spans="1:12" ht="15" customHeight="1" x14ac:dyDescent="0.3">
      <c r="A46" s="23" t="s">
        <v>17</v>
      </c>
      <c r="B46" s="17" t="s">
        <v>457</v>
      </c>
      <c r="C46" s="17" t="s">
        <v>44</v>
      </c>
      <c r="D46" s="18" t="s">
        <v>264</v>
      </c>
      <c r="E46" s="18" t="s">
        <v>265</v>
      </c>
      <c r="F46" s="17" t="s">
        <v>38</v>
      </c>
      <c r="G46" s="17"/>
      <c r="H46" s="17" t="s">
        <v>455</v>
      </c>
      <c r="I46" s="17"/>
      <c r="J46" s="17"/>
      <c r="K46" s="18"/>
      <c r="L46" s="18"/>
    </row>
    <row r="47" spans="1:12" ht="15" customHeight="1" x14ac:dyDescent="0.3">
      <c r="A47" s="15" t="s">
        <v>13</v>
      </c>
      <c r="B47" s="13" t="s">
        <v>449</v>
      </c>
      <c r="C47" s="13" t="s">
        <v>267</v>
      </c>
      <c r="D47" s="14" t="s">
        <v>269</v>
      </c>
      <c r="E47" s="14" t="s">
        <v>273</v>
      </c>
      <c r="F47" s="13" t="s">
        <v>454</v>
      </c>
      <c r="G47" s="13"/>
      <c r="H47" s="13" t="s">
        <v>455</v>
      </c>
      <c r="I47" s="13"/>
      <c r="J47" s="13"/>
      <c r="K47" s="14"/>
      <c r="L47" s="14"/>
    </row>
    <row r="48" spans="1:12" ht="15" customHeight="1" x14ac:dyDescent="0.3">
      <c r="A48" s="15" t="s">
        <v>13</v>
      </c>
      <c r="B48" s="17" t="s">
        <v>449</v>
      </c>
      <c r="C48" s="17" t="s">
        <v>267</v>
      </c>
      <c r="D48" s="18" t="s">
        <v>275</v>
      </c>
      <c r="E48" s="18" t="s">
        <v>279</v>
      </c>
      <c r="F48" s="17" t="s">
        <v>454</v>
      </c>
      <c r="G48" s="17"/>
      <c r="H48" s="17" t="s">
        <v>455</v>
      </c>
      <c r="I48" s="17"/>
      <c r="J48" s="17"/>
      <c r="K48" s="18"/>
      <c r="L48" s="18"/>
    </row>
    <row r="49" spans="1:12" ht="23.85" customHeight="1" x14ac:dyDescent="0.3">
      <c r="A49" s="15" t="s">
        <v>13</v>
      </c>
      <c r="B49" s="13" t="s">
        <v>449</v>
      </c>
      <c r="C49" s="13" t="s">
        <v>267</v>
      </c>
      <c r="D49" s="14" t="s">
        <v>281</v>
      </c>
      <c r="E49" s="14" t="s">
        <v>285</v>
      </c>
      <c r="F49" s="13" t="s">
        <v>454</v>
      </c>
      <c r="G49" s="13"/>
      <c r="H49" s="13" t="s">
        <v>455</v>
      </c>
      <c r="I49" s="13"/>
      <c r="J49" s="13"/>
      <c r="K49" s="14"/>
      <c r="L49" s="14"/>
    </row>
    <row r="50" spans="1:12" ht="15" customHeight="1" x14ac:dyDescent="0.3">
      <c r="A50" s="15" t="s">
        <v>13</v>
      </c>
      <c r="B50" s="17" t="s">
        <v>449</v>
      </c>
      <c r="C50" s="17" t="s">
        <v>267</v>
      </c>
      <c r="D50" s="18" t="s">
        <v>287</v>
      </c>
      <c r="E50" s="18" t="s">
        <v>291</v>
      </c>
      <c r="F50" s="17" t="s">
        <v>454</v>
      </c>
      <c r="G50" s="17"/>
      <c r="H50" s="17" t="s">
        <v>455</v>
      </c>
      <c r="I50" s="17"/>
      <c r="J50" s="17"/>
      <c r="K50" s="18"/>
      <c r="L50" s="18"/>
    </row>
    <row r="51" spans="1:12" ht="15" customHeight="1" x14ac:dyDescent="0.3">
      <c r="A51" s="21" t="s">
        <v>15</v>
      </c>
      <c r="B51" s="13" t="s">
        <v>458</v>
      </c>
      <c r="C51" s="13" t="s">
        <v>267</v>
      </c>
      <c r="D51" s="14" t="s">
        <v>293</v>
      </c>
      <c r="E51" s="14" t="s">
        <v>297</v>
      </c>
      <c r="F51" s="13" t="s">
        <v>454</v>
      </c>
      <c r="G51" s="13"/>
      <c r="H51" s="13" t="s">
        <v>455</v>
      </c>
      <c r="I51" s="13"/>
      <c r="J51" s="13"/>
      <c r="K51" s="14"/>
      <c r="L51" s="14"/>
    </row>
    <row r="52" spans="1:12" ht="15" customHeight="1" x14ac:dyDescent="0.3">
      <c r="A52" s="21" t="s">
        <v>15</v>
      </c>
      <c r="B52" s="17" t="s">
        <v>458</v>
      </c>
      <c r="C52" s="17" t="s">
        <v>267</v>
      </c>
      <c r="D52" s="18" t="s">
        <v>298</v>
      </c>
      <c r="E52" s="18" t="s">
        <v>301</v>
      </c>
      <c r="F52" s="17" t="s">
        <v>454</v>
      </c>
      <c r="G52" s="17"/>
      <c r="H52" s="17" t="s">
        <v>455</v>
      </c>
      <c r="I52" s="17"/>
      <c r="J52" s="17"/>
      <c r="K52" s="18"/>
      <c r="L52" s="18"/>
    </row>
    <row r="53" spans="1:12" ht="15" customHeight="1" x14ac:dyDescent="0.3">
      <c r="A53" s="21" t="s">
        <v>15</v>
      </c>
      <c r="B53" s="13" t="s">
        <v>458</v>
      </c>
      <c r="C53" s="13" t="s">
        <v>267</v>
      </c>
      <c r="D53" s="14" t="s">
        <v>302</v>
      </c>
      <c r="E53" s="14" t="s">
        <v>306</v>
      </c>
      <c r="F53" s="13" t="s">
        <v>454</v>
      </c>
      <c r="G53" s="13"/>
      <c r="H53" s="13" t="s">
        <v>455</v>
      </c>
      <c r="I53" s="13"/>
      <c r="J53" s="13"/>
      <c r="K53" s="14"/>
      <c r="L53" s="14"/>
    </row>
    <row r="54" spans="1:12" ht="15" customHeight="1" x14ac:dyDescent="0.3">
      <c r="A54" s="21" t="s">
        <v>15</v>
      </c>
      <c r="B54" s="17" t="s">
        <v>458</v>
      </c>
      <c r="C54" s="17" t="s">
        <v>267</v>
      </c>
      <c r="D54" s="18" t="s">
        <v>308</v>
      </c>
      <c r="E54" s="18" t="s">
        <v>312</v>
      </c>
      <c r="F54" s="17" t="s">
        <v>454</v>
      </c>
      <c r="G54" s="17"/>
      <c r="H54" s="17" t="s">
        <v>455</v>
      </c>
      <c r="I54" s="17"/>
      <c r="J54" s="17"/>
      <c r="K54" s="18"/>
      <c r="L54" s="18"/>
    </row>
    <row r="55" spans="1:12" ht="15" customHeight="1" x14ac:dyDescent="0.3">
      <c r="A55" s="23" t="s">
        <v>17</v>
      </c>
      <c r="B55" s="13" t="s">
        <v>458</v>
      </c>
      <c r="C55" s="13" t="s">
        <v>267</v>
      </c>
      <c r="D55" s="14" t="s">
        <v>313</v>
      </c>
      <c r="E55" s="14" t="s">
        <v>316</v>
      </c>
      <c r="F55" s="13" t="s">
        <v>454</v>
      </c>
      <c r="G55" s="13"/>
      <c r="H55" s="13" t="s">
        <v>455</v>
      </c>
      <c r="I55" s="13"/>
      <c r="J55" s="13"/>
      <c r="K55" s="14"/>
      <c r="L55" s="14"/>
    </row>
    <row r="56" spans="1:12" ht="15" customHeight="1" x14ac:dyDescent="0.3">
      <c r="A56" s="15" t="s">
        <v>13</v>
      </c>
      <c r="B56" s="17" t="s">
        <v>449</v>
      </c>
      <c r="C56" s="17" t="s">
        <v>317</v>
      </c>
      <c r="D56" s="18" t="s">
        <v>319</v>
      </c>
      <c r="E56" s="18" t="s">
        <v>322</v>
      </c>
      <c r="F56" s="17" t="s">
        <v>38</v>
      </c>
      <c r="G56" s="17"/>
      <c r="H56" s="17" t="s">
        <v>455</v>
      </c>
      <c r="I56" s="17"/>
      <c r="J56" s="17"/>
      <c r="K56" s="18"/>
      <c r="L56" s="18"/>
    </row>
    <row r="57" spans="1:12" ht="15" customHeight="1" x14ac:dyDescent="0.3">
      <c r="A57" s="15" t="s">
        <v>13</v>
      </c>
      <c r="B57" s="13" t="s">
        <v>449</v>
      </c>
      <c r="C57" s="13" t="s">
        <v>317</v>
      </c>
      <c r="D57" s="14" t="s">
        <v>326</v>
      </c>
      <c r="E57" s="14" t="s">
        <v>331</v>
      </c>
      <c r="F57" s="13" t="s">
        <v>454</v>
      </c>
      <c r="G57" s="13"/>
      <c r="H57" s="13" t="s">
        <v>455</v>
      </c>
      <c r="I57" s="13"/>
      <c r="J57" s="13"/>
      <c r="K57" s="14"/>
      <c r="L57" s="14"/>
    </row>
    <row r="58" spans="1:12" ht="15" customHeight="1" x14ac:dyDescent="0.3">
      <c r="A58" s="21" t="s">
        <v>15</v>
      </c>
      <c r="B58" s="17" t="s">
        <v>459</v>
      </c>
      <c r="C58" s="17" t="s">
        <v>317</v>
      </c>
      <c r="D58" s="18" t="s">
        <v>333</v>
      </c>
      <c r="E58" s="18" t="s">
        <v>336</v>
      </c>
      <c r="F58" s="17" t="s">
        <v>454</v>
      </c>
      <c r="G58" s="17"/>
      <c r="H58" s="17" t="s">
        <v>455</v>
      </c>
      <c r="I58" s="17"/>
      <c r="J58" s="17"/>
      <c r="K58" s="18"/>
      <c r="L58" s="18"/>
    </row>
    <row r="59" spans="1:12" ht="15" customHeight="1" x14ac:dyDescent="0.3">
      <c r="A59" s="21" t="s">
        <v>15</v>
      </c>
      <c r="B59" s="13" t="s">
        <v>459</v>
      </c>
      <c r="C59" s="13" t="s">
        <v>317</v>
      </c>
      <c r="D59" s="14" t="s">
        <v>338</v>
      </c>
      <c r="E59" s="14" t="s">
        <v>259</v>
      </c>
      <c r="F59" s="13" t="s">
        <v>454</v>
      </c>
      <c r="G59" s="13"/>
      <c r="H59" s="13" t="s">
        <v>455</v>
      </c>
      <c r="I59" s="13"/>
      <c r="J59" s="13"/>
      <c r="K59" s="14"/>
      <c r="L59" s="14"/>
    </row>
    <row r="60" spans="1:12" ht="15" customHeight="1" x14ac:dyDescent="0.3">
      <c r="A60" s="21" t="s">
        <v>15</v>
      </c>
      <c r="B60" s="17" t="s">
        <v>459</v>
      </c>
      <c r="C60" s="17" t="s">
        <v>317</v>
      </c>
      <c r="D60" s="18" t="s">
        <v>341</v>
      </c>
      <c r="E60" s="18" t="s">
        <v>346</v>
      </c>
      <c r="F60" s="17" t="s">
        <v>454</v>
      </c>
      <c r="G60" s="17"/>
      <c r="H60" s="17" t="s">
        <v>455</v>
      </c>
      <c r="I60" s="17"/>
      <c r="J60" s="17"/>
      <c r="K60" s="18"/>
      <c r="L60" s="18"/>
    </row>
    <row r="61" spans="1:12" ht="15" customHeight="1" x14ac:dyDescent="0.3">
      <c r="A61" s="21" t="s">
        <v>15</v>
      </c>
      <c r="B61" s="13" t="s">
        <v>459</v>
      </c>
      <c r="C61" s="13" t="s">
        <v>317</v>
      </c>
      <c r="D61" s="14" t="s">
        <v>347</v>
      </c>
      <c r="E61" s="14" t="s">
        <v>351</v>
      </c>
      <c r="F61" s="13" t="s">
        <v>454</v>
      </c>
      <c r="G61" s="13"/>
      <c r="H61" s="13" t="s">
        <v>455</v>
      </c>
      <c r="I61" s="13"/>
      <c r="J61" s="13"/>
      <c r="K61" s="14"/>
      <c r="L61" s="14"/>
    </row>
    <row r="62" spans="1:12" ht="15" customHeight="1" x14ac:dyDescent="0.3">
      <c r="A62" s="23" t="s">
        <v>17</v>
      </c>
      <c r="B62" s="17" t="s">
        <v>459</v>
      </c>
      <c r="C62" s="17" t="s">
        <v>317</v>
      </c>
      <c r="D62" s="18" t="s">
        <v>353</v>
      </c>
      <c r="E62" s="18" t="s">
        <v>355</v>
      </c>
      <c r="F62" s="17" t="s">
        <v>454</v>
      </c>
      <c r="G62" s="17"/>
      <c r="H62" s="17" t="s">
        <v>455</v>
      </c>
      <c r="I62" s="17"/>
      <c r="J62" s="17"/>
      <c r="K62" s="18"/>
      <c r="L62" s="18"/>
    </row>
    <row r="63" spans="1:12" ht="15" customHeight="1" x14ac:dyDescent="0.3">
      <c r="A63" s="21" t="s">
        <v>15</v>
      </c>
      <c r="B63" s="13" t="s">
        <v>459</v>
      </c>
      <c r="C63" s="13" t="s">
        <v>317</v>
      </c>
      <c r="D63" s="14" t="s">
        <v>356</v>
      </c>
      <c r="E63" s="14" t="s">
        <v>359</v>
      </c>
      <c r="F63" s="13" t="s">
        <v>454</v>
      </c>
      <c r="G63" s="13"/>
      <c r="H63" s="13" t="s">
        <v>455</v>
      </c>
      <c r="I63" s="13"/>
      <c r="J63" s="13"/>
      <c r="K63" s="14"/>
      <c r="L63" s="14"/>
    </row>
    <row r="64" spans="1:12" ht="15" customHeight="1" x14ac:dyDescent="0.3">
      <c r="A64" s="21" t="s">
        <v>15</v>
      </c>
      <c r="B64" s="17" t="s">
        <v>459</v>
      </c>
      <c r="C64" s="17" t="s">
        <v>317</v>
      </c>
      <c r="D64" s="18" t="s">
        <v>361</v>
      </c>
      <c r="E64" s="18" t="s">
        <v>365</v>
      </c>
      <c r="F64" s="17" t="s">
        <v>454</v>
      </c>
      <c r="G64" s="17"/>
      <c r="H64" s="17" t="s">
        <v>455</v>
      </c>
      <c r="I64" s="17"/>
      <c r="J64" s="17"/>
      <c r="K64" s="18"/>
      <c r="L64" s="18"/>
    </row>
    <row r="65" spans="1:12" ht="15" customHeight="1" x14ac:dyDescent="0.3">
      <c r="A65" s="23" t="s">
        <v>17</v>
      </c>
      <c r="B65" s="13" t="s">
        <v>459</v>
      </c>
      <c r="C65" s="13" t="s">
        <v>317</v>
      </c>
      <c r="D65" s="14" t="s">
        <v>366</v>
      </c>
      <c r="E65" s="14" t="s">
        <v>369</v>
      </c>
      <c r="F65" s="13" t="s">
        <v>454</v>
      </c>
      <c r="G65" s="13"/>
      <c r="H65" s="13" t="s">
        <v>455</v>
      </c>
      <c r="I65" s="13"/>
      <c r="J65" s="13"/>
      <c r="K65" s="14"/>
      <c r="L65" s="14"/>
    </row>
    <row r="66" spans="1:12" ht="15" customHeight="1" x14ac:dyDescent="0.3">
      <c r="A66" s="15" t="s">
        <v>13</v>
      </c>
      <c r="B66" s="17" t="s">
        <v>449</v>
      </c>
      <c r="C66" s="17" t="s">
        <v>371</v>
      </c>
      <c r="D66" s="18" t="s">
        <v>372</v>
      </c>
      <c r="E66" s="18" t="s">
        <v>376</v>
      </c>
      <c r="F66" s="17" t="s">
        <v>454</v>
      </c>
      <c r="G66" s="17"/>
      <c r="H66" s="17" t="s">
        <v>455</v>
      </c>
      <c r="I66" s="17"/>
      <c r="J66" s="17"/>
      <c r="K66" s="18"/>
      <c r="L66" s="18"/>
    </row>
    <row r="67" spans="1:12" ht="15" customHeight="1" x14ac:dyDescent="0.3">
      <c r="A67" s="21" t="s">
        <v>15</v>
      </c>
      <c r="B67" s="13" t="s">
        <v>459</v>
      </c>
      <c r="C67" s="13" t="s">
        <v>371</v>
      </c>
      <c r="D67" s="14" t="s">
        <v>378</v>
      </c>
      <c r="E67" s="14" t="s">
        <v>382</v>
      </c>
      <c r="F67" s="13" t="s">
        <v>454</v>
      </c>
      <c r="G67" s="13"/>
      <c r="H67" s="13" t="s">
        <v>455</v>
      </c>
      <c r="I67" s="13"/>
      <c r="J67" s="13"/>
      <c r="K67" s="14"/>
      <c r="L67" s="14"/>
    </row>
    <row r="68" spans="1:12" ht="15" customHeight="1" x14ac:dyDescent="0.3">
      <c r="A68" s="21" t="s">
        <v>15</v>
      </c>
      <c r="B68" s="17" t="s">
        <v>459</v>
      </c>
      <c r="C68" s="17" t="s">
        <v>371</v>
      </c>
      <c r="D68" s="18" t="s">
        <v>384</v>
      </c>
      <c r="E68" s="18" t="s">
        <v>387</v>
      </c>
      <c r="F68" s="17" t="s">
        <v>454</v>
      </c>
      <c r="G68" s="17"/>
      <c r="H68" s="17" t="s">
        <v>455</v>
      </c>
      <c r="I68" s="17"/>
      <c r="J68" s="17"/>
      <c r="K68" s="18"/>
      <c r="L68" s="18"/>
    </row>
    <row r="69" spans="1:12" ht="15" customHeight="1" x14ac:dyDescent="0.3">
      <c r="A69" s="21" t="s">
        <v>15</v>
      </c>
      <c r="B69" s="13" t="s">
        <v>459</v>
      </c>
      <c r="C69" s="13" t="s">
        <v>371</v>
      </c>
      <c r="D69" s="14" t="s">
        <v>388</v>
      </c>
      <c r="E69" s="14" t="s">
        <v>392</v>
      </c>
      <c r="F69" s="13" t="s">
        <v>454</v>
      </c>
      <c r="G69" s="13"/>
      <c r="H69" s="13" t="s">
        <v>455</v>
      </c>
      <c r="I69" s="13"/>
      <c r="J69" s="13"/>
      <c r="K69" s="14"/>
      <c r="L69" s="14"/>
    </row>
    <row r="70" spans="1:12" ht="15" customHeight="1" x14ac:dyDescent="0.3">
      <c r="A70" s="21" t="s">
        <v>15</v>
      </c>
      <c r="B70" s="17" t="s">
        <v>459</v>
      </c>
      <c r="C70" s="17" t="s">
        <v>371</v>
      </c>
      <c r="D70" s="18" t="s">
        <v>394</v>
      </c>
      <c r="E70" s="18" t="s">
        <v>398</v>
      </c>
      <c r="F70" s="17" t="s">
        <v>454</v>
      </c>
      <c r="G70" s="17"/>
      <c r="H70" s="17" t="s">
        <v>455</v>
      </c>
      <c r="I70" s="17"/>
      <c r="J70" s="17"/>
      <c r="K70" s="18"/>
      <c r="L70" s="18"/>
    </row>
    <row r="71" spans="1:12" ht="15" customHeight="1" x14ac:dyDescent="0.3">
      <c r="A71" s="21" t="s">
        <v>15</v>
      </c>
      <c r="B71" s="13" t="s">
        <v>459</v>
      </c>
      <c r="C71" s="13" t="s">
        <v>371</v>
      </c>
      <c r="D71" s="14" t="s">
        <v>400</v>
      </c>
      <c r="E71" s="14" t="s">
        <v>402</v>
      </c>
      <c r="F71" s="13" t="s">
        <v>454</v>
      </c>
      <c r="G71" s="13"/>
      <c r="H71" s="13" t="s">
        <v>455</v>
      </c>
      <c r="I71" s="13"/>
      <c r="J71" s="13"/>
      <c r="K71" s="14"/>
      <c r="L71" s="14"/>
    </row>
    <row r="72" spans="1:12" ht="15" customHeight="1" x14ac:dyDescent="0.3">
      <c r="A72" s="15" t="s">
        <v>13</v>
      </c>
      <c r="B72" s="17" t="s">
        <v>449</v>
      </c>
      <c r="C72" s="17" t="s">
        <v>371</v>
      </c>
      <c r="D72" s="18" t="s">
        <v>404</v>
      </c>
      <c r="E72" s="18" t="s">
        <v>407</v>
      </c>
      <c r="F72" s="17" t="s">
        <v>454</v>
      </c>
      <c r="G72" s="17"/>
      <c r="H72" s="17" t="s">
        <v>455</v>
      </c>
      <c r="I72" s="17"/>
      <c r="J72" s="17"/>
      <c r="K72" s="18"/>
      <c r="L72" s="18"/>
    </row>
    <row r="73" spans="1:12" ht="15" customHeight="1" x14ac:dyDescent="0.3">
      <c r="A73" s="23" t="s">
        <v>17</v>
      </c>
      <c r="B73" s="13" t="s">
        <v>459</v>
      </c>
      <c r="C73" s="13" t="s">
        <v>371</v>
      </c>
      <c r="D73" s="14" t="s">
        <v>409</v>
      </c>
      <c r="E73" s="14" t="s">
        <v>409</v>
      </c>
      <c r="F73" s="13" t="s">
        <v>454</v>
      </c>
      <c r="G73" s="13"/>
      <c r="H73" s="13" t="s">
        <v>455</v>
      </c>
      <c r="I73" s="13"/>
      <c r="J73" s="13"/>
      <c r="K73" s="14"/>
      <c r="L73" s="14"/>
    </row>
    <row r="74" spans="1:12" ht="15" customHeight="1" x14ac:dyDescent="0.3">
      <c r="A74" s="21" t="s">
        <v>15</v>
      </c>
      <c r="B74" s="17" t="s">
        <v>459</v>
      </c>
      <c r="C74" s="17" t="s">
        <v>371</v>
      </c>
      <c r="D74" s="18" t="s">
        <v>412</v>
      </c>
      <c r="E74" s="18" t="s">
        <v>416</v>
      </c>
      <c r="F74" s="17" t="s">
        <v>454</v>
      </c>
      <c r="G74" s="17"/>
      <c r="H74" s="17" t="s">
        <v>455</v>
      </c>
      <c r="I74" s="17"/>
      <c r="J74" s="17"/>
      <c r="K74" s="18"/>
      <c r="L74" s="18"/>
    </row>
    <row r="75" spans="1:12" ht="15" customHeight="1" x14ac:dyDescent="0.3">
      <c r="A75" s="15" t="s">
        <v>13</v>
      </c>
      <c r="B75" s="13" t="s">
        <v>449</v>
      </c>
      <c r="C75" s="13" t="s">
        <v>418</v>
      </c>
      <c r="D75" s="14" t="s">
        <v>419</v>
      </c>
      <c r="E75" s="14" t="s">
        <v>423</v>
      </c>
      <c r="F75" s="13" t="s">
        <v>454</v>
      </c>
      <c r="G75" s="13"/>
      <c r="H75" s="13" t="s">
        <v>455</v>
      </c>
      <c r="I75" s="13"/>
      <c r="J75" s="13"/>
      <c r="K75" s="14"/>
      <c r="L75" s="14"/>
    </row>
    <row r="76" spans="1:12" ht="15" customHeight="1" x14ac:dyDescent="0.3">
      <c r="A76" s="15" t="s">
        <v>13</v>
      </c>
      <c r="B76" s="17" t="s">
        <v>449</v>
      </c>
      <c r="C76" s="17" t="s">
        <v>418</v>
      </c>
      <c r="D76" s="18" t="s">
        <v>425</v>
      </c>
      <c r="E76" s="18" t="s">
        <v>429</v>
      </c>
      <c r="F76" s="17" t="s">
        <v>454</v>
      </c>
      <c r="G76" s="17"/>
      <c r="H76" s="17" t="s">
        <v>455</v>
      </c>
      <c r="I76" s="17"/>
      <c r="J76" s="17"/>
      <c r="K76" s="18"/>
      <c r="L76" s="18"/>
    </row>
    <row r="77" spans="1:12" ht="15" customHeight="1" x14ac:dyDescent="0.3">
      <c r="A77" s="15" t="s">
        <v>13</v>
      </c>
      <c r="B77" s="13" t="s">
        <v>449</v>
      </c>
      <c r="C77" s="13" t="s">
        <v>418</v>
      </c>
      <c r="D77" s="14" t="s">
        <v>431</v>
      </c>
      <c r="E77" s="14" t="s">
        <v>435</v>
      </c>
      <c r="F77" s="13" t="s">
        <v>454</v>
      </c>
      <c r="G77" s="13"/>
      <c r="H77" s="13" t="s">
        <v>455</v>
      </c>
      <c r="I77" s="13"/>
      <c r="J77" s="13"/>
      <c r="K77" s="14"/>
      <c r="L77" s="14"/>
    </row>
    <row r="78" spans="1:12" ht="15" customHeight="1" x14ac:dyDescent="0.3">
      <c r="A78" s="21" t="s">
        <v>15</v>
      </c>
      <c r="B78" s="17" t="s">
        <v>459</v>
      </c>
      <c r="C78" s="17" t="s">
        <v>418</v>
      </c>
      <c r="D78" s="18" t="s">
        <v>437</v>
      </c>
      <c r="E78" s="18" t="s">
        <v>279</v>
      </c>
      <c r="F78" s="17" t="s">
        <v>454</v>
      </c>
      <c r="G78" s="17"/>
      <c r="H78" s="17" t="s">
        <v>455</v>
      </c>
      <c r="I78" s="17"/>
      <c r="J78" s="17"/>
      <c r="K78" s="18"/>
      <c r="L78" s="18"/>
    </row>
    <row r="80" spans="1:12" ht="15" customHeight="1" x14ac:dyDescent="0.3">
      <c r="C80" s="24" t="s">
        <v>460</v>
      </c>
      <c r="D80" s="25">
        <f>COUNTA(D3:D78)</f>
        <v>76</v>
      </c>
      <c r="F80" s="24" t="s">
        <v>451</v>
      </c>
      <c r="G80" s="24">
        <f>COUNTIF(H3:H78,"Sent")+COUNTIF(H3:H78,"Followed up")+COUNTIF(H3:H78,"Replied")+COUNTIF(H3:H78,"Demo booked")+COUNTIF(H3:H78,"Trial")+COUNTIF(H3:H78,"Won")</f>
        <v>7</v>
      </c>
      <c r="H80" s="24" t="s">
        <v>461</v>
      </c>
      <c r="I80" s="25">
        <f>COUNTIF(J3:J78,"Yes")</f>
        <v>0</v>
      </c>
    </row>
  </sheetData>
  <autoFilter ref="A2:L78" xr:uid="{00000000-0009-0000-0000-000002000000}"/>
  <mergeCells count="1">
    <mergeCell ref="A1:L1"/>
  </mergeCells>
  <dataValidations count="3">
    <dataValidation type="list" allowBlank="1" sqref="H3:H78" xr:uid="{00000000-0002-0000-0200-000000000000}">
      <formula1>"To send,Sent,Followed up,Replied,Demo booked,Trial,Won,Not now,Lost"</formula1>
      <formula2>0</formula2>
    </dataValidation>
    <dataValidation type="list" allowBlank="1" sqref="F3:F78" xr:uid="{00000000-0002-0000-0200-000001000000}">
      <formula1>"Email,Web form,WhatsApp,Phone,In person"</formula1>
      <formula2>0</formula2>
    </dataValidation>
    <dataValidation type="list" allowBlank="1" sqref="J3:J78" xr:uid="{00000000-0002-0000-02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Guide</vt:lpstr>
      <vt:lpstr>Master List</vt:lpstr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cyril.joseph32@gmail.com</cp:lastModifiedBy>
  <cp:revision>0</cp:revision>
  <dcterms:created xsi:type="dcterms:W3CDTF">2026-06-11T16:52:45Z</dcterms:created>
  <dcterms:modified xsi:type="dcterms:W3CDTF">2026-06-15T04:08:53Z</dcterms:modified>
  <dc:language>en-US</dc:language>
</cp:coreProperties>
</file>